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as\Downloads\"/>
    </mc:Choice>
  </mc:AlternateContent>
  <xr:revisionPtr revIDLastSave="0" documentId="8_{449AEB7A-3874-42FD-A392-3B52E1A82A5D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__FDSCACHE__" sheetId="1" state="hidden" r:id="rId1"/>
    <sheet name="Cover sheet" sheetId="2" r:id="rId2"/>
    <sheet name="__FDS_SIDEBAR__" sheetId="3" state="hidden" r:id="rId3"/>
    <sheet name="Assumptions" sheetId="4" r:id="rId4"/>
    <sheet name="Company fin forecasts" sheetId="5" r:id="rId5"/>
    <sheet name=" Financials" sheetId="6" r:id="rId6"/>
    <sheet name="DCF input" sheetId="7" r:id="rId7"/>
    <sheet name="DCF output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'[25]Data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[1]PSG!$I$4:$N$23</definedName>
    <definedName name="base_case">[2]V!$B$8:$G$19</definedName>
    <definedName name="Basic_NOSH">[3]COCKPIT!$I$45</definedName>
    <definedName name="BC_Disposal">[3]COCKPIT!$D$102</definedName>
    <definedName name="bob_ind_pro">[4]Combined!$B$376:$J$396</definedName>
    <definedName name="bobcat_standalone">[4]Combined!$B$334:$J$343</definedName>
    <definedName name="BRAZIL_CASE" localSheetId="5">#REF!</definedName>
    <definedName name="BRAZIL_CASE">#REF!</definedName>
    <definedName name="broker">[5]Valuation!$L$10:$P$32</definedName>
    <definedName name="buyers">[6]PPS!$C$24:$D$29</definedName>
    <definedName name="buyin_output">[6]PPS!$B$3:$L$21</definedName>
    <definedName name="Call_value">[7]WV!$E$40</definedName>
    <definedName name="CapDA">[3]COCKPIT!$D$81</definedName>
    <definedName name="CapexSens_Base">[6]DCF!$L$159:$R$165</definedName>
    <definedName name="capitalisation">[6]PPS!$I$43:$N$53</definedName>
    <definedName name="captax">[3]LBO!$H$26</definedName>
    <definedName name="CFS">[6]CFS!$B$9:$H$25</definedName>
    <definedName name="choice">[8]Ass!$C$6</definedName>
    <definedName name="circ">Assumptions!$D$7</definedName>
    <definedName name="ClosePrint">ClosePrint</definedName>
    <definedName name="com">[5]FootballField!$D$10:$F$21</definedName>
    <definedName name="Comparison_page">[9]Comparison!$B$2:$U$31</definedName>
    <definedName name="con">[5]Contribution!$K$4:$R$21</definedName>
    <definedName name="Consult_Sales_EBITDA">[4]Consultancy!$B$121:$H$128</definedName>
    <definedName name="Consult_WACC_TV">[4]Consultancy!$B$111:$H$118</definedName>
    <definedName name="contribution">[6]PPS!$C$132:$F$143</definedName>
    <definedName name="credit">[6]LBO!$V$482:$AD$501</definedName>
    <definedName name="Current_Price">[3]COCKPIT!$I$33</definedName>
    <definedName name="d_1">[7]WV!$E$37</definedName>
    <definedName name="d_2">[7]WV!$E$38</definedName>
    <definedName name="Days">[3]COCKPIT!$J$16</definedName>
    <definedName name="DC_trans_date">'[3]Blue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[3]COCKPIT!$D$72</definedName>
    <definedName name="DCF_Stubb">[3]COCKPIT!$D$74</definedName>
    <definedName name="DCFoutput">'DCF output'!$C$7:$T$44</definedName>
    <definedName name="DealDate">[10]DEALSheet!$F$11</definedName>
    <definedName name="Defence_Sales_EBITDA">'[4]Defence Systems'!$B$121:$H$128</definedName>
    <definedName name="Defence_WACC_TV">'[4]Defence Systems'!$B$111:$H$118</definedName>
    <definedName name="Diluted_NOSH">[3]COCKPIT!$I$49</definedName>
    <definedName name="DML_Multiple_Sensitivity">[4]DCF!$B$126:$H$133</definedName>
    <definedName name="DML_WACC_TV">[4]DCF!$B$136:$H$143</definedName>
    <definedName name="EBITA_Hist">[6]PPS!$D$161:$X$161,[6]PPS!$D$164:$X$164</definedName>
    <definedName name="ebitda">[5]EBIT_SPLIT!$B$6:$P$9,[5]EBIT_SPLIT!$B$48:$P$55,[5]EBIT_SPLIT!$B$68:$P$75,[5]EBIT_SPLIT!$B$88:$P$95,[5]EBIT_SPLIT!$B$108:$P$115,[5]EBIT_SPLIT!$B$128:$P$136,[5]EBIT_SPLIT!$B$139:$P$147</definedName>
    <definedName name="edin">'[11]Clubs 1'!$A$1:$N$142</definedName>
    <definedName name="eurster">[12]Ved_DealSheet!$F$24</definedName>
    <definedName name="ev.Calculation">-4105</definedName>
    <definedName name="ev.Initialized">FALSE()</definedName>
    <definedName name="Exchange_rate">[13]Input!$D$137:$N$154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[6]PPS!$C$168:$Q$200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[13]Financials!$B$8:$FC$847</definedName>
    <definedName name="Five_IRR_EBITA">[6]PPS!$AA$60:$AG$68</definedName>
    <definedName name="Five_MM">[6]PPS!$AA$74:$AG$82</definedName>
    <definedName name="foot">[5]FootballField!$K$10:$M$27</definedName>
    <definedName name="FV">[3]COCKPIT!$I$61</definedName>
    <definedName name="FV_MarginSens_Base">[6]DCF!$D$149:$J$155</definedName>
    <definedName name="FX">[13]Input!$H$1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[14]Toggles!$I$2</definedName>
    <definedName name="FXCurrencies">[14]Toggles!$H$3:$J$11</definedName>
    <definedName name="G_G1">[16]Operational!$U$7:$W$33</definedName>
    <definedName name="G_G2">[16]Operational!$X$7:$Z$33</definedName>
    <definedName name="G_G3">[16]Operational!$AA$7:$AC$33</definedName>
    <definedName name="GW">'[15]PF_B+W+A_IS&amp;CFS'!$R$1</definedName>
    <definedName name="Hays_exchange_ratio">[12]Hays_Financials_Cal!$M$2</definedName>
    <definedName name="Hays_Financials">[12]Hays_PPS!$B$17:$J$33</definedName>
    <definedName name="Hays_Graph">[12]Shr_Graphs!$B$8:$C$530,[12]Shr_Graphs!$F$8:$F$530</definedName>
    <definedName name="Hays_Trading">[12]Hays_PPS!$B$4:$I$15</definedName>
    <definedName name="HLLL">HLLL</definedName>
    <definedName name="hn.DZ_MultByFXRates">[17]DropZone!$B$2:$I$118,[17]DropZone!$B$120:$I$132,[17]DropZone!$B$134:$I$136,[17]DropZone!$B$138:$I$146</definedName>
    <definedName name="hn.ExtDb">FALSE()</definedName>
    <definedName name="hn.ModelType">"DEAL"</definedName>
    <definedName name="hn.ModelVersion">1</definedName>
    <definedName name="hn.NoUpload">0</definedName>
    <definedName name="IHG_2YR_SP">'[18]Share price performance'!$B$10:$C$536</definedName>
    <definedName name="IHG_5YR_SP">'[18]Share price performance'!$F$10:$G$1318</definedName>
    <definedName name="indigo_standalone">[4]Combined!$B$355:$J$364</definedName>
    <definedName name="infl">[8]Ass!$C$3</definedName>
    <definedName name="IPO_AG_trans_date">'[3]Agriculture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[6]PPS!$R$24:$X$32</definedName>
    <definedName name="IRR_threeyear">[6]PPS!$R$8:$X$16</definedName>
    <definedName name="IsColHidden">FALSE()</definedName>
    <definedName name="IsLTMColHidden">FALSE()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[7]WV!$E$32</definedName>
    <definedName name="Laidlaw_AVP">[12]Hays_Consolidated_AVP!$C$2:$K$39</definedName>
    <definedName name="last12">'[5]Buy-in_1y'!$K$2:$K$8</definedName>
    <definedName name="last6">'[5]Buy-in_6mo'!$K$2:$K$8</definedName>
    <definedName name="laura1">'[5]Buy-in_1y'!$A$2:$C$132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'[19]DCF I (In)'!$G$105</definedName>
    <definedName name="LIBOR">#REF!</definedName>
    <definedName name="LTIP">'[6]NOSH—Mar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[3]COCKPIT!$E$312</definedName>
    <definedName name="Management_Share_Out">[3]COCKPIT!$F$320</definedName>
    <definedName name="mans">{"quarterly",#N/A,FALSE,"Income Statement";#N/A,#N/A,FALSE,"print segment";#N/A,#N/A,FALSE,"Balance Sheet";#N/A,#N/A,FALSE,"Annl Inc";#N/A,#N/A,FALSE,"Cash Flow"}</definedName>
    <definedName name="MarginSens_Base">[6]DCF!$E$159:$K$166</definedName>
    <definedName name="Market">[13]Input!$B$8:$AE$131</definedName>
    <definedName name="me">"Button 5"</definedName>
    <definedName name="MEXICO_CASE" localSheetId="5">#REF!</definedName>
    <definedName name="MEXICO_CASE">#REF!</definedName>
    <definedName name="Month">'[20]Validation &amp; Graph Calcs'!$A$4:$A$15</definedName>
    <definedName name="mtr">[12]Hays_DealSheet!$L$22</definedName>
    <definedName name="mult">[5]FootballField!$B$34:$O$37</definedName>
    <definedName name="Multiples">[4]SOTP!$I$7:$M$14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[3]COCKPIT!$I$54</definedName>
    <definedName name="o">[3]LBO!$G$353</definedName>
    <definedName name="Offer_Price">[3]COCKPIT!$I$38</definedName>
    <definedName name="ok">'[21]Error Check'!$C$71</definedName>
    <definedName name="oneyr">'[5]2yr &amp; 1yr share price'!$AB$10:$AG$272</definedName>
    <definedName name="Operating_profit_plus_D_A">[6]CFS!$B$9:$H$21</definedName>
    <definedName name="Options">'[6]NOSH—Mar 05'!$G$7:$L$35</definedName>
    <definedName name="Partner_Share">[3]COCKPIT!$D$88</definedName>
    <definedName name="Partner_Share_Out">[3]COCKPIT!$F$88</definedName>
    <definedName name="PE_bands">[6]PE_Bands!$L$14:$S$1693</definedName>
    <definedName name="PEER_SP">'[18]Share price performance'!$Q$10:$W$274</definedName>
    <definedName name="PEER_SP_GROWTH">'[18]Share price performance'!$Y$10:$AC$17</definedName>
    <definedName name="Pension_Adjusts">[6]Pension!$H$7:$M$16</definedName>
    <definedName name="Pension_Assumpt">[6]Pension!$B$24:$E$34</definedName>
    <definedName name="Pension_Cashcost">[6]Pension!$J$37:$L$39</definedName>
    <definedName name="Pension_Charges">[6]Pension!$B$40:$C$50</definedName>
    <definedName name="Pension_Liabs">[6]Pension!$B$7:$D$19</definedName>
    <definedName name="pensions">[6]Assumptions!$AC$3</definedName>
    <definedName name="Percent">[3]COCKPIT!$I$16</definedName>
    <definedName name="Perp">[3]COCKPIT!$D$80</definedName>
    <definedName name="PF_Financials">[12]PF_PPS!$B$11:$J$24</definedName>
    <definedName name="PF_Trading">[12]PF_PPS!$B$4:$G$9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[4]LBO!$O$26:$U$34</definedName>
    <definedName name="Pul_USD_fins">[6]PPS!$C$88:$G$97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'[5]Buy-in_6mo'!$H$2:$H$8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[7]WV!$E$34</definedName>
    <definedName name="Recap_scenario">{"cap_structure",#N/A,FALSE,"Graph-Mkt Cap";"price",#N/A,FALSE,"Graph-Price";"ebit",#N/A,FALSE,"Graph-EBITDA";"ebitda",#N/A,FALSE,"Graph-EBITDA"}</definedName>
    <definedName name="refin">[6]DealSheet!$E$36</definedName>
    <definedName name="Relative_Mkt_Cap">[12]Hays_VED_MV!$B$8:$B$529,[12]Hays_VED_MV!$C$8:$C$529,[12]Hays_VED_MV!$F$8:$F$529</definedName>
    <definedName name="Relative_valuation">[16]Relative!$A$4:$O$33</definedName>
    <definedName name="RNG">[22]Edinburgh!$AA$10:$AM$109</definedName>
    <definedName name="roll_forward">[6]DealSheet!$F$14</definedName>
    <definedName name="s">[7]WV!$E$30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[6]LBO!$BP$49:$BU$67</definedName>
    <definedName name="SAPBEXrevision">18</definedName>
    <definedName name="SAPBEXsysID">"BWG"</definedName>
    <definedName name="SAPBEXwbID">"3LG2HDNOMZXXPT5GCGTKWGJ0B"</definedName>
    <definedName name="SC_Disposal">[3]COCKPIT!$D$104</definedName>
    <definedName name="SC_Disposals">[3]COCKPIT!$D$104</definedName>
    <definedName name="SC_trans_date">'[3]Specialty Chem Cluster_COCKPIT'!$E$10</definedName>
    <definedName name="scenario">[21]Scenarios!$H$6</definedName>
    <definedName name="ScenarioSwitch">'[19]DCF I (In)'!$Q$99</definedName>
    <definedName name="sellers">[6]PPS!$C$31:$D$36</definedName>
    <definedName name="sencount">1</definedName>
    <definedName name="Sensitivity_tables">[4]LBO!$B$302:$H$333</definedName>
    <definedName name="SGRF_Share">[3]COCKPIT!$D$87</definedName>
    <definedName name="SGRF_Share_Out">[3]COCKPIT!$F$87</definedName>
    <definedName name="SHAD">[22]Dundee!$Z$10:$AL$111</definedName>
    <definedName name="share_box">[6]PPS!$I$25:$K$31</definedName>
    <definedName name="Ship_Sales_EBITDA">[4]Ships!$B$121:$H$128</definedName>
    <definedName name="Ship_WACC_TV">[4]Ships!$B$111:$H$118</definedName>
    <definedName name="SO_trans_date">'[3]Stdalone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[2]V!$K$8:$K$19</definedName>
    <definedName name="SOP2_S">[2]V!$K$19:$K$24</definedName>
    <definedName name="sopval">'[5]sop valuation'!$C$2:$M$13</definedName>
    <definedName name="SOTP">[4]SOTP!$B$7:$G$19</definedName>
    <definedName name="Sources_Uses">[3]COCKPIT!$C$127:$M$147</definedName>
    <definedName name="sp">'[5]Buy-in_1y'!$D$8:$E$269</definedName>
    <definedName name="SP_Disposal">[3]COCKPIT!$D$105</definedName>
    <definedName name="SP_Disposals">[3]COCKPIT!$D$105</definedName>
    <definedName name="SP_trans_date">'[3]Specialty Plast Cluster_COCKPIT'!$E$10</definedName>
    <definedName name="sssssss">'[23]DCF I (In)'!$I$119</definedName>
    <definedName name="sssssssssssssssssssssssssssssss">'[23]DCF I (In)'!$A$117</definedName>
    <definedName name="Stand_Disposal">[3]COCKPIT!$D$103</definedName>
    <definedName name="Stub">[24]Combined!$H$9</definedName>
    <definedName name="stub_period">'[21]Inc Statement'!$I$9</definedName>
    <definedName name="stubb1">[4]LBO!$E$26</definedName>
    <definedName name="Sub_Sales_EBITDA">[4]Submarine!$B$121:$H$128</definedName>
    <definedName name="Sub_WACC_TV">[4]Submarine!$B$111:$H$118</definedName>
    <definedName name="sum">[5]Contribution!$B$4:$J$29</definedName>
    <definedName name="summ_DCFfins">[6]PPS!$C$102:$Q$127</definedName>
    <definedName name="summ_fins">[6]PPS!$C$41:$G$69</definedName>
    <definedName name="Summary_financials">[4]LBO!$B$255:$P$298</definedName>
    <definedName name="Sunil">[3]LBO!$A$1</definedName>
    <definedName name="sweep">[4]Debt!$D$27</definedName>
    <definedName name="SwitchDiscount">'[19]DCF I (In)'!$A$125</definedName>
    <definedName name="SwitchExit">'[19]DCF I (In)'!$I$119</definedName>
    <definedName name="SwitchListed">'[19]DCF I (In)'!$A$117</definedName>
    <definedName name="SYNERGIES_CASE" localSheetId="5">#REF!</definedName>
    <definedName name="SYNERGIES_CASE">#REF!</definedName>
    <definedName name="Synergies_Table_2">'[4]Babcock synergies'!$C$38:$J$44</definedName>
    <definedName name="synergy">[6]PPS!$C$149:$F$156</definedName>
    <definedName name="Synergy_Sensitivity">'[4]Babcock synergies'!$C$36:$J$44</definedName>
    <definedName name="t">[7]WV!$E$31</definedName>
    <definedName name="Table_20">[3]LBO!$R$360:$Z$370</definedName>
    <definedName name="Table_21">[3]LBO!$B$315:$T$351</definedName>
    <definedName name="Table_22">[3]LBO!$B$78:$R$100</definedName>
    <definedName name="Table_23">[3]COCKPIT!$B$152:$D$161</definedName>
    <definedName name="Table_24">[3]COCKPIT!$K$152:$N$161</definedName>
    <definedName name="table1">'[5]Buy-in_1y'!$I$38:$K$41</definedName>
    <definedName name="table2">'[5]Buy-in_6mo'!$I$38:$K$41</definedName>
    <definedName name="takeout">[5]TAKEOUT_ANALYSIS!$B$4:$M$29</definedName>
    <definedName name="Targ_IRR_3year">[6]LBO!$AT$64:$AZ$70</definedName>
    <definedName name="Tax_rate">[12]Hays_DealSheet!$L$22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[6]PPS!$R$60:$X$68</definedName>
    <definedName name="Three_MM">[6]PPS!$R$74:$X$82</definedName>
    <definedName name="Trans_Date">[3]COCKPIT!$I$13</definedName>
    <definedName name="TVandWACC_FV">[6]DCF!$M$102:$Q$106</definedName>
    <definedName name="TVandWACC_ImpliedMultiples">[6]DCF!$AN$111:$AT$117</definedName>
    <definedName name="TVandWACC_OfferPrice">[6]DCF!$AN$100:$AT$106</definedName>
    <definedName name="twoyr">'[5]2yr &amp; 1yr share price'!$K$10:$P$532</definedName>
    <definedName name="update">'[21]Error Check'!$I$71</definedName>
    <definedName name="Upside_case_EV">[2]V!$B$16:$G$27</definedName>
    <definedName name="v">[7]WV!$E$33</definedName>
    <definedName name="val">[2]F!$B$8:$B$30,[2]F!$M$9,[2]F!$M$9:$O$30</definedName>
    <definedName name="Val_data">[2]F!$D$10:$F$25</definedName>
    <definedName name="val_mult">[2]F!$B$34:$O$36</definedName>
    <definedName name="Valuation">[4]Valuation!$B$7:$G$12</definedName>
    <definedName name="Various_Nosh">'[6]NOSH—Mar 05'!$Q$7:$W$12</definedName>
    <definedName name="Ved_exchange_rate">[12]Ved_Financials_Cal!$M$2</definedName>
    <definedName name="Ved_exchange_ratio">[12]Ved_Financials_Cal!$M$2</definedName>
    <definedName name="Ved_Financials">[12]Ved_PPS!$B$18:$J$34</definedName>
    <definedName name="Ved_Trading">[12]Ved_PPS!$B$4:$I$16</definedName>
    <definedName name="Vedior_exchange_rate">[12]Ved_Financials_Cal!$M$2</definedName>
    <definedName name="Vedior_Graph">[12]Shr_Graphs!$J$8:$K$530,[12]Shr_Graphs!$N$8:$N$530</definedName>
    <definedName name="WACC">[4]DCF!$E$10</definedName>
    <definedName name="WACC_calculation">[9]Summary!$G$5:$K$25</definedName>
    <definedName name="WACC1">'[4]VT DCF'!$E$10</definedName>
    <definedName name="Wil_USD_fins">[6]PPS!$C$74:$G$83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[4]WSMI!$C$123:$H$128</definedName>
    <definedName name="WSMI_WACC_TV">[4]WSMI!$C$113:$H$118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'[5]xstrata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[3]COCKPIT!$X$13</definedName>
    <definedName name="year2">'[5]Share price_2years'!$L$7:$Q$531</definedName>
    <definedName name="ZZZ">{"AR",#N/A,FALSE,"ASMGTSUM";"INV",#N/A,FALSE,"ASMGTSUM";"HCCOMP",#N/A,FALSE,"ASMGTSUM";"cap.depr",#N/A,FALSE,"ASMGTSUM"}</definedName>
  </definedNames>
  <calcPr calcId="191029" iterate="1" iterateCount="10000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8" l="1"/>
  <c r="J20" i="8"/>
  <c r="J7" i="8"/>
  <c r="J29" i="8" s="1"/>
  <c r="H124" i="7"/>
  <c r="H120" i="7"/>
  <c r="G120" i="7"/>
  <c r="F120" i="7"/>
  <c r="I119" i="7"/>
  <c r="H119" i="7"/>
  <c r="G119" i="7"/>
  <c r="F119" i="7"/>
  <c r="H118" i="7"/>
  <c r="G118" i="7"/>
  <c r="F118" i="7"/>
  <c r="H114" i="7"/>
  <c r="G114" i="7"/>
  <c r="F114" i="7"/>
  <c r="D111" i="7"/>
  <c r="E107" i="7"/>
  <c r="E108" i="7" s="1"/>
  <c r="L106" i="7"/>
  <c r="E106" i="7"/>
  <c r="E105" i="7"/>
  <c r="E104" i="7"/>
  <c r="O103" i="7"/>
  <c r="P103" i="7" s="1"/>
  <c r="Q103" i="7" s="1"/>
  <c r="N103" i="7"/>
  <c r="M103" i="7" s="1"/>
  <c r="J103" i="7"/>
  <c r="P37" i="8" s="1"/>
  <c r="I103" i="7"/>
  <c r="O37" i="8" s="1"/>
  <c r="H103" i="7"/>
  <c r="Q99" i="7"/>
  <c r="P99" i="7"/>
  <c r="O99" i="7"/>
  <c r="N99" i="7"/>
  <c r="M99" i="7"/>
  <c r="L99" i="7"/>
  <c r="J99" i="7"/>
  <c r="I99" i="7"/>
  <c r="H99" i="7"/>
  <c r="G99" i="7"/>
  <c r="F99" i="7"/>
  <c r="Q98" i="7"/>
  <c r="P98" i="7"/>
  <c r="O98" i="7"/>
  <c r="N98" i="7"/>
  <c r="M98" i="7"/>
  <c r="L98" i="7"/>
  <c r="J98" i="7"/>
  <c r="I98" i="7"/>
  <c r="H98" i="7"/>
  <c r="G98" i="7"/>
  <c r="F98" i="7"/>
  <c r="Q97" i="7"/>
  <c r="P97" i="7"/>
  <c r="O97" i="7"/>
  <c r="N97" i="7"/>
  <c r="M97" i="7"/>
  <c r="L97" i="7"/>
  <c r="L96" i="7" s="1"/>
  <c r="L95" i="7" s="1"/>
  <c r="J97" i="7"/>
  <c r="I97" i="7"/>
  <c r="H97" i="7"/>
  <c r="G97" i="7"/>
  <c r="F97" i="7"/>
  <c r="E97" i="7"/>
  <c r="E98" i="7" s="1"/>
  <c r="Q96" i="7"/>
  <c r="P96" i="7"/>
  <c r="O96" i="7"/>
  <c r="N96" i="7"/>
  <c r="M96" i="7"/>
  <c r="J96" i="7"/>
  <c r="I96" i="7"/>
  <c r="H96" i="7"/>
  <c r="G96" i="7"/>
  <c r="F96" i="7"/>
  <c r="E96" i="7"/>
  <c r="K39" i="8" s="1"/>
  <c r="Q95" i="7"/>
  <c r="P95" i="7"/>
  <c r="O95" i="7"/>
  <c r="N95" i="7"/>
  <c r="J95" i="7"/>
  <c r="I95" i="7"/>
  <c r="H95" i="7"/>
  <c r="G95" i="7"/>
  <c r="E95" i="7"/>
  <c r="K38" i="8" s="1"/>
  <c r="P94" i="7"/>
  <c r="Q94" i="7" s="1"/>
  <c r="O94" i="7"/>
  <c r="N94" i="7"/>
  <c r="M94" i="7"/>
  <c r="H94" i="7"/>
  <c r="I94" i="7" s="1"/>
  <c r="J94" i="7" s="1"/>
  <c r="G94" i="7"/>
  <c r="F94" i="7"/>
  <c r="P88" i="7"/>
  <c r="M88" i="7"/>
  <c r="G56" i="7"/>
  <c r="N55" i="7"/>
  <c r="G53" i="7"/>
  <c r="G50" i="7"/>
  <c r="F48" i="7"/>
  <c r="G46" i="7"/>
  <c r="J40" i="7"/>
  <c r="J119" i="7" s="1"/>
  <c r="I40" i="7"/>
  <c r="G37" i="7"/>
  <c r="G29" i="7"/>
  <c r="H27" i="7"/>
  <c r="G27" i="7"/>
  <c r="F27" i="7"/>
  <c r="H24" i="7"/>
  <c r="G24" i="7"/>
  <c r="F24" i="7"/>
  <c r="G22" i="7"/>
  <c r="G111" i="7" s="1"/>
  <c r="D22" i="7"/>
  <c r="F7" i="7"/>
  <c r="F8" i="7" s="1"/>
  <c r="K79" i="6"/>
  <c r="H79" i="6"/>
  <c r="G79" i="6"/>
  <c r="Q78" i="6"/>
  <c r="P78" i="6"/>
  <c r="K78" i="6"/>
  <c r="H58" i="7" s="1"/>
  <c r="J78" i="6"/>
  <c r="I78" i="6"/>
  <c r="F58" i="7" s="1"/>
  <c r="H78" i="6"/>
  <c r="G78" i="6"/>
  <c r="F78" i="6"/>
  <c r="G77" i="6"/>
  <c r="R76" i="6"/>
  <c r="O55" i="7" s="1"/>
  <c r="Q76" i="6"/>
  <c r="K76" i="6"/>
  <c r="J76" i="6"/>
  <c r="I76" i="6"/>
  <c r="H76" i="6"/>
  <c r="H77" i="6" s="1"/>
  <c r="G76" i="6"/>
  <c r="F76" i="6"/>
  <c r="F77" i="6" s="1"/>
  <c r="J75" i="6"/>
  <c r="N74" i="6"/>
  <c r="K52" i="7" s="1"/>
  <c r="M74" i="6"/>
  <c r="J52" i="7" s="1"/>
  <c r="L74" i="6"/>
  <c r="I52" i="7" s="1"/>
  <c r="J73" i="6"/>
  <c r="I73" i="6"/>
  <c r="N72" i="6"/>
  <c r="M72" i="6"/>
  <c r="L72" i="6"/>
  <c r="K72" i="6"/>
  <c r="J72" i="6"/>
  <c r="G48" i="7" s="1"/>
  <c r="I72" i="6"/>
  <c r="H72" i="6"/>
  <c r="H73" i="6" s="1"/>
  <c r="G72" i="6"/>
  <c r="G73" i="6" s="1"/>
  <c r="F72" i="6"/>
  <c r="K71" i="6"/>
  <c r="J71" i="6"/>
  <c r="I71" i="6"/>
  <c r="H71" i="6"/>
  <c r="G71" i="6"/>
  <c r="F71" i="6"/>
  <c r="J70" i="6"/>
  <c r="I70" i="6"/>
  <c r="K69" i="6"/>
  <c r="J69" i="6"/>
  <c r="I69" i="6"/>
  <c r="H69" i="6"/>
  <c r="G69" i="6"/>
  <c r="F69" i="6"/>
  <c r="K68" i="6"/>
  <c r="K70" i="6" s="1"/>
  <c r="J68" i="6"/>
  <c r="I68" i="6"/>
  <c r="H68" i="6"/>
  <c r="G68" i="6"/>
  <c r="F68" i="6"/>
  <c r="J66" i="6"/>
  <c r="I66" i="6"/>
  <c r="K65" i="6"/>
  <c r="K66" i="6" s="1"/>
  <c r="J65" i="6"/>
  <c r="I65" i="6"/>
  <c r="G64" i="6"/>
  <c r="F64" i="6"/>
  <c r="K63" i="6"/>
  <c r="G63" i="6"/>
  <c r="K62" i="6"/>
  <c r="J62" i="6"/>
  <c r="I62" i="6"/>
  <c r="I64" i="6" s="1"/>
  <c r="H62" i="6"/>
  <c r="G62" i="6"/>
  <c r="F62" i="6"/>
  <c r="F63" i="6" s="1"/>
  <c r="K60" i="6"/>
  <c r="K75" i="6" s="1"/>
  <c r="J60" i="6"/>
  <c r="I60" i="6"/>
  <c r="I61" i="6" s="1"/>
  <c r="H60" i="6"/>
  <c r="G60" i="6"/>
  <c r="F60" i="6"/>
  <c r="F79" i="6" s="1"/>
  <c r="F58" i="6"/>
  <c r="K55" i="6"/>
  <c r="J55" i="6"/>
  <c r="I55" i="6"/>
  <c r="H55" i="6"/>
  <c r="G55" i="6"/>
  <c r="F55" i="6"/>
  <c r="S54" i="6"/>
  <c r="N54" i="6"/>
  <c r="K54" i="6"/>
  <c r="J54" i="6"/>
  <c r="I54" i="6"/>
  <c r="H54" i="6"/>
  <c r="G54" i="6"/>
  <c r="F54" i="6"/>
  <c r="S53" i="6"/>
  <c r="R53" i="6"/>
  <c r="P53" i="6"/>
  <c r="O53" i="6"/>
  <c r="N53" i="6"/>
  <c r="N78" i="6" s="1"/>
  <c r="M53" i="6"/>
  <c r="M78" i="6" s="1"/>
  <c r="L53" i="6"/>
  <c r="K51" i="6"/>
  <c r="J51" i="6"/>
  <c r="I51" i="6"/>
  <c r="H51" i="6"/>
  <c r="G51" i="6"/>
  <c r="F51" i="6"/>
  <c r="R50" i="6"/>
  <c r="Q50" i="6"/>
  <c r="P50" i="6"/>
  <c r="O50" i="6"/>
  <c r="K50" i="6"/>
  <c r="J50" i="6"/>
  <c r="I50" i="6"/>
  <c r="H50" i="6"/>
  <c r="G50" i="6"/>
  <c r="F50" i="6"/>
  <c r="R49" i="6"/>
  <c r="S49" i="6" s="1"/>
  <c r="S76" i="6" s="1"/>
  <c r="P49" i="6"/>
  <c r="P76" i="6" s="1"/>
  <c r="O49" i="6"/>
  <c r="O76" i="6" s="1"/>
  <c r="N49" i="6"/>
  <c r="M49" i="6"/>
  <c r="L49" i="6"/>
  <c r="R47" i="6"/>
  <c r="K47" i="6"/>
  <c r="J47" i="6"/>
  <c r="I47" i="6"/>
  <c r="G47" i="6"/>
  <c r="N46" i="6"/>
  <c r="M46" i="6"/>
  <c r="L46" i="6"/>
  <c r="K46" i="6"/>
  <c r="J46" i="6"/>
  <c r="P45" i="6"/>
  <c r="O45" i="6"/>
  <c r="O74" i="6" s="1"/>
  <c r="N45" i="6"/>
  <c r="M45" i="6"/>
  <c r="L45" i="6"/>
  <c r="K45" i="6"/>
  <c r="K74" i="6" s="1"/>
  <c r="H52" i="7" s="1"/>
  <c r="J45" i="6"/>
  <c r="J74" i="6" s="1"/>
  <c r="G52" i="7" s="1"/>
  <c r="G123" i="7" s="1"/>
  <c r="I45" i="6"/>
  <c r="H45" i="6"/>
  <c r="G45" i="6"/>
  <c r="F45" i="6"/>
  <c r="F46" i="6" s="1"/>
  <c r="K43" i="6"/>
  <c r="J43" i="6"/>
  <c r="I43" i="6"/>
  <c r="H43" i="6"/>
  <c r="G43" i="6"/>
  <c r="F43" i="6"/>
  <c r="K42" i="6"/>
  <c r="J42" i="6"/>
  <c r="I42" i="6"/>
  <c r="H42" i="6"/>
  <c r="G42" i="6"/>
  <c r="F42" i="6"/>
  <c r="L41" i="6"/>
  <c r="K41" i="6"/>
  <c r="J41" i="6"/>
  <c r="I41" i="6"/>
  <c r="H41" i="6"/>
  <c r="G41" i="6"/>
  <c r="F41" i="6"/>
  <c r="P40" i="6"/>
  <c r="O40" i="6"/>
  <c r="N40" i="6"/>
  <c r="M40" i="6"/>
  <c r="L40" i="6"/>
  <c r="K33" i="6"/>
  <c r="J33" i="6"/>
  <c r="I33" i="6"/>
  <c r="H33" i="6"/>
  <c r="G33" i="6"/>
  <c r="F33" i="6"/>
  <c r="K32" i="6"/>
  <c r="J32" i="6"/>
  <c r="I32" i="6"/>
  <c r="H32" i="6"/>
  <c r="G32" i="6"/>
  <c r="F32" i="6"/>
  <c r="N29" i="6"/>
  <c r="K40" i="7" s="1"/>
  <c r="K27" i="6"/>
  <c r="J27" i="6"/>
  <c r="I27" i="6"/>
  <c r="H27" i="6"/>
  <c r="G27" i="6"/>
  <c r="F27" i="6"/>
  <c r="K26" i="6"/>
  <c r="J26" i="6"/>
  <c r="I26" i="6"/>
  <c r="H26" i="6"/>
  <c r="G26" i="6"/>
  <c r="F26" i="6"/>
  <c r="K23" i="6"/>
  <c r="J23" i="6"/>
  <c r="G23" i="6"/>
  <c r="P22" i="6"/>
  <c r="O22" i="6"/>
  <c r="K22" i="6"/>
  <c r="J22" i="6"/>
  <c r="G22" i="6"/>
  <c r="P21" i="6"/>
  <c r="G21" i="6"/>
  <c r="F21" i="6"/>
  <c r="P20" i="6"/>
  <c r="O20" i="6"/>
  <c r="N20" i="6"/>
  <c r="N21" i="6" s="1"/>
  <c r="M20" i="6"/>
  <c r="M22" i="6" s="1"/>
  <c r="L20" i="6"/>
  <c r="L21" i="6" s="1"/>
  <c r="K20" i="6"/>
  <c r="K21" i="6" s="1"/>
  <c r="J20" i="6"/>
  <c r="I20" i="6"/>
  <c r="H20" i="6"/>
  <c r="H21" i="6" s="1"/>
  <c r="G20" i="6"/>
  <c r="F20" i="6"/>
  <c r="F23" i="6" s="1"/>
  <c r="K17" i="6"/>
  <c r="J17" i="6"/>
  <c r="I17" i="6"/>
  <c r="H17" i="6"/>
  <c r="G17" i="6"/>
  <c r="F17" i="6"/>
  <c r="C16" i="6"/>
  <c r="P12" i="6"/>
  <c r="O12" i="6"/>
  <c r="N12" i="6"/>
  <c r="M12" i="6"/>
  <c r="M13" i="6" s="1"/>
  <c r="L12" i="6"/>
  <c r="L13" i="6" s="1"/>
  <c r="L11" i="6" s="1"/>
  <c r="G9" i="6"/>
  <c r="G58" i="6" s="1"/>
  <c r="C9" i="6"/>
  <c r="D18" i="4"/>
  <c r="E19" i="2"/>
  <c r="F20" i="5"/>
  <c r="F31" i="5" s="1"/>
  <c r="F32" i="5" s="1"/>
  <c r="F13" i="5"/>
  <c r="F16" i="5" s="1"/>
  <c r="B13" i="5"/>
  <c r="L31" i="6" s="1"/>
  <c r="F11" i="5"/>
  <c r="F10" i="5"/>
  <c r="E10" i="5"/>
  <c r="E11" i="5" s="1"/>
  <c r="D10" i="5"/>
  <c r="D11" i="5" s="1"/>
  <c r="C10" i="5"/>
  <c r="C11" i="5" s="1"/>
  <c r="B10" i="5"/>
  <c r="B11" i="5" s="1"/>
  <c r="F8" i="5"/>
  <c r="E8" i="5"/>
  <c r="D8" i="5"/>
  <c r="B8" i="5"/>
  <c r="C7" i="5"/>
  <c r="F6" i="5"/>
  <c r="E6" i="5"/>
  <c r="D6" i="5"/>
  <c r="C6" i="5"/>
  <c r="L60" i="6" l="1"/>
  <c r="L51" i="6"/>
  <c r="L23" i="6"/>
  <c r="M11" i="6"/>
  <c r="L47" i="6"/>
  <c r="O125" i="7"/>
  <c r="O24" i="8"/>
  <c r="P55" i="7"/>
  <c r="L52" i="7"/>
  <c r="H29" i="7"/>
  <c r="H28" i="7"/>
  <c r="F122" i="7"/>
  <c r="F49" i="7"/>
  <c r="F50" i="7"/>
  <c r="H112" i="7"/>
  <c r="H113" i="7" s="1"/>
  <c r="N125" i="7"/>
  <c r="N24" i="8"/>
  <c r="J23" i="8"/>
  <c r="J123" i="7"/>
  <c r="D13" i="5"/>
  <c r="I23" i="6"/>
  <c r="I22" i="6"/>
  <c r="O78" i="6"/>
  <c r="O54" i="6"/>
  <c r="G61" i="6"/>
  <c r="K23" i="8"/>
  <c r="K123" i="7"/>
  <c r="E13" i="5"/>
  <c r="P16" i="6"/>
  <c r="P18" i="6" s="1"/>
  <c r="J21" i="6"/>
  <c r="L22" i="6"/>
  <c r="Q54" i="6"/>
  <c r="P54" i="6"/>
  <c r="I48" i="7"/>
  <c r="L73" i="6"/>
  <c r="H35" i="7"/>
  <c r="N13" i="6"/>
  <c r="O13" i="6"/>
  <c r="L32" i="6"/>
  <c r="L33" i="6"/>
  <c r="H23" i="6"/>
  <c r="H22" i="6"/>
  <c r="K58" i="7"/>
  <c r="F73" i="6"/>
  <c r="F70" i="6"/>
  <c r="F61" i="6"/>
  <c r="H48" i="7"/>
  <c r="K73" i="6"/>
  <c r="G33" i="7"/>
  <c r="I21" i="6"/>
  <c r="O46" i="6"/>
  <c r="R54" i="6"/>
  <c r="R78" i="6"/>
  <c r="J48" i="7"/>
  <c r="P74" i="6"/>
  <c r="H31" i="7"/>
  <c r="K67" i="6"/>
  <c r="G17" i="7"/>
  <c r="G18" i="7" s="1"/>
  <c r="J58" i="7"/>
  <c r="H25" i="7"/>
  <c r="C13" i="5"/>
  <c r="G122" i="7"/>
  <c r="G49" i="7"/>
  <c r="N58" i="7"/>
  <c r="S78" i="6"/>
  <c r="T53" i="6"/>
  <c r="P41" i="6"/>
  <c r="P72" i="6"/>
  <c r="T49" i="6"/>
  <c r="H64" i="6"/>
  <c r="I63" i="6"/>
  <c r="Q40" i="6"/>
  <c r="S50" i="6"/>
  <c r="F124" i="7"/>
  <c r="F59" i="7"/>
  <c r="P13" i="6"/>
  <c r="S47" i="6"/>
  <c r="M58" i="7"/>
  <c r="B16" i="5"/>
  <c r="B20" i="5" s="1"/>
  <c r="O21" i="6"/>
  <c r="N22" i="6"/>
  <c r="M42" i="6"/>
  <c r="P46" i="6"/>
  <c r="L55" i="7"/>
  <c r="F31" i="7"/>
  <c r="I67" i="6"/>
  <c r="F35" i="7"/>
  <c r="F112" i="7"/>
  <c r="F113" i="7" s="1"/>
  <c r="F28" i="7"/>
  <c r="M21" i="6"/>
  <c r="M47" i="6"/>
  <c r="M55" i="7"/>
  <c r="H63" i="6"/>
  <c r="G31" i="7"/>
  <c r="J67" i="6"/>
  <c r="G112" i="7"/>
  <c r="G113" i="7" s="1"/>
  <c r="G28" i="7"/>
  <c r="J79" i="6"/>
  <c r="G58" i="7"/>
  <c r="F22" i="6"/>
  <c r="O29" i="6"/>
  <c r="L42" i="6"/>
  <c r="G46" i="6"/>
  <c r="G74" i="6"/>
  <c r="G75" i="6" s="1"/>
  <c r="H61" i="6"/>
  <c r="J64" i="6"/>
  <c r="J63" i="6"/>
  <c r="F55" i="7"/>
  <c r="I77" i="6"/>
  <c r="H59" i="7"/>
  <c r="H115" i="7"/>
  <c r="F115" i="7"/>
  <c r="L55" i="6"/>
  <c r="G55" i="7"/>
  <c r="G125" i="7" s="1"/>
  <c r="J77" i="6"/>
  <c r="L78" i="6"/>
  <c r="I79" i="6"/>
  <c r="K119" i="7"/>
  <c r="K20" i="8"/>
  <c r="K48" i="7"/>
  <c r="G115" i="7"/>
  <c r="H46" i="6"/>
  <c r="H74" i="6"/>
  <c r="H75" i="6" s="1"/>
  <c r="L50" i="6"/>
  <c r="L76" i="6"/>
  <c r="I46" i="6"/>
  <c r="I74" i="6"/>
  <c r="F74" i="6"/>
  <c r="F75" i="6" s="1"/>
  <c r="H55" i="7"/>
  <c r="K77" i="6"/>
  <c r="L105" i="7"/>
  <c r="L104" i="7" s="1"/>
  <c r="L107" i="7"/>
  <c r="L108" i="7" s="1"/>
  <c r="F47" i="6"/>
  <c r="H9" i="6"/>
  <c r="N41" i="6"/>
  <c r="M41" i="6"/>
  <c r="M76" i="6"/>
  <c r="M50" i="6"/>
  <c r="M55" i="6"/>
  <c r="L54" i="6"/>
  <c r="J61" i="6"/>
  <c r="O41" i="6"/>
  <c r="O72" i="6"/>
  <c r="H47" i="6"/>
  <c r="N50" i="6"/>
  <c r="N76" i="6"/>
  <c r="M54" i="6"/>
  <c r="K64" i="6"/>
  <c r="K61" i="6"/>
  <c r="H70" i="6"/>
  <c r="I123" i="7"/>
  <c r="L75" i="6"/>
  <c r="H53" i="7"/>
  <c r="G70" i="6"/>
  <c r="K41" i="8"/>
  <c r="E99" i="7"/>
  <c r="K42" i="8" s="1"/>
  <c r="H123" i="7"/>
  <c r="F65" i="6"/>
  <c r="H65" i="6"/>
  <c r="G65" i="6"/>
  <c r="G103" i="7"/>
  <c r="N37" i="8"/>
  <c r="C35" i="8" s="1"/>
  <c r="K7" i="8"/>
  <c r="M48" i="7" l="1"/>
  <c r="H116" i="7"/>
  <c r="H117" i="7" s="1"/>
  <c r="H36" i="7"/>
  <c r="H37" i="7"/>
  <c r="L40" i="7"/>
  <c r="P29" i="6"/>
  <c r="P58" i="7"/>
  <c r="I122" i="7"/>
  <c r="I49" i="7"/>
  <c r="G124" i="7"/>
  <c r="G59" i="7"/>
  <c r="I58" i="7"/>
  <c r="L79" i="6"/>
  <c r="B31" i="5"/>
  <c r="L16" i="6"/>
  <c r="L18" i="6" s="1"/>
  <c r="L15" i="6" s="1"/>
  <c r="H121" i="7"/>
  <c r="H32" i="7"/>
  <c r="H33" i="7"/>
  <c r="D16" i="5"/>
  <c r="D20" i="5" s="1"/>
  <c r="N31" i="6"/>
  <c r="M60" i="6"/>
  <c r="M23" i="6"/>
  <c r="M51" i="6"/>
  <c r="N11" i="6"/>
  <c r="L48" i="7"/>
  <c r="Q41" i="6"/>
  <c r="Q72" i="6"/>
  <c r="R40" i="6"/>
  <c r="M31" i="6"/>
  <c r="C16" i="5"/>
  <c r="M52" i="7"/>
  <c r="J124" i="7"/>
  <c r="J26" i="8"/>
  <c r="K55" i="7"/>
  <c r="M125" i="7"/>
  <c r="M24" i="8"/>
  <c r="H58" i="6"/>
  <c r="I9" i="6"/>
  <c r="G66" i="6"/>
  <c r="G67" i="6"/>
  <c r="L125" i="7"/>
  <c r="L24" i="8"/>
  <c r="N124" i="7"/>
  <c r="N26" i="8"/>
  <c r="H122" i="7"/>
  <c r="H50" i="7"/>
  <c r="H49" i="7"/>
  <c r="K21" i="8"/>
  <c r="K122" i="7"/>
  <c r="P24" i="8"/>
  <c r="P125" i="7"/>
  <c r="K29" i="8"/>
  <c r="L7" i="8"/>
  <c r="F52" i="7"/>
  <c r="I75" i="6"/>
  <c r="G121" i="7"/>
  <c r="G127" i="7" s="1"/>
  <c r="G32" i="7"/>
  <c r="J55" i="7"/>
  <c r="M77" i="6"/>
  <c r="T78" i="6"/>
  <c r="U53" i="6"/>
  <c r="T54" i="6"/>
  <c r="I55" i="7"/>
  <c r="L77" i="6"/>
  <c r="L58" i="7"/>
  <c r="F103" i="7"/>
  <c r="L37" i="8" s="1"/>
  <c r="M37" i="8"/>
  <c r="F125" i="7"/>
  <c r="F56" i="7"/>
  <c r="F116" i="7"/>
  <c r="F117" i="7" s="1"/>
  <c r="F36" i="7"/>
  <c r="J21" i="8"/>
  <c r="J122" i="7"/>
  <c r="H67" i="6"/>
  <c r="H66" i="6"/>
  <c r="M124" i="7"/>
  <c r="M26" i="8"/>
  <c r="K26" i="8"/>
  <c r="K124" i="7"/>
  <c r="E16" i="5"/>
  <c r="E20" i="5" s="1"/>
  <c r="O31" i="6"/>
  <c r="F67" i="6"/>
  <c r="F66" i="6"/>
  <c r="H125" i="7"/>
  <c r="H56" i="7"/>
  <c r="G35" i="7"/>
  <c r="F33" i="7"/>
  <c r="F121" i="7"/>
  <c r="F32" i="7"/>
  <c r="T47" i="6"/>
  <c r="T76" i="6"/>
  <c r="U49" i="6"/>
  <c r="T50" i="6"/>
  <c r="O58" i="7"/>
  <c r="L23" i="8"/>
  <c r="L123" i="7"/>
  <c r="L61" i="6"/>
  <c r="I24" i="7"/>
  <c r="L124" i="7" l="1"/>
  <c r="L26" i="8"/>
  <c r="D31" i="5"/>
  <c r="D32" i="5" s="1"/>
  <c r="N16" i="6"/>
  <c r="N18" i="6" s="1"/>
  <c r="N15" i="6" s="1"/>
  <c r="L29" i="8"/>
  <c r="M7" i="8"/>
  <c r="E31" i="5"/>
  <c r="E32" i="5" s="1"/>
  <c r="O16" i="6"/>
  <c r="O18" i="6" s="1"/>
  <c r="I56" i="7"/>
  <c r="I125" i="7"/>
  <c r="P124" i="7"/>
  <c r="P26" i="8"/>
  <c r="U78" i="6"/>
  <c r="V53" i="6"/>
  <c r="U54" i="6"/>
  <c r="F127" i="7"/>
  <c r="I59" i="7"/>
  <c r="I124" i="7"/>
  <c r="N32" i="6"/>
  <c r="N33" i="6"/>
  <c r="O32" i="6"/>
  <c r="L119" i="7"/>
  <c r="L20" i="8"/>
  <c r="V49" i="6"/>
  <c r="U50" i="6"/>
  <c r="U76" i="6"/>
  <c r="F123" i="7"/>
  <c r="F53" i="7"/>
  <c r="R72" i="6"/>
  <c r="S40" i="6"/>
  <c r="R41" i="6"/>
  <c r="Q55" i="7"/>
  <c r="U47" i="6"/>
  <c r="H127" i="7"/>
  <c r="Q29" i="6"/>
  <c r="P31" i="6"/>
  <c r="M40" i="7"/>
  <c r="L21" i="8"/>
  <c r="L122" i="7"/>
  <c r="J125" i="7"/>
  <c r="J24" i="8"/>
  <c r="J56" i="7"/>
  <c r="I58" i="6"/>
  <c r="F22" i="7" s="1"/>
  <c r="F111" i="7" s="1"/>
  <c r="J9" i="6"/>
  <c r="M21" i="8"/>
  <c r="M122" i="7"/>
  <c r="M32" i="6"/>
  <c r="M33" i="6"/>
  <c r="N48" i="7"/>
  <c r="K125" i="7"/>
  <c r="K24" i="8"/>
  <c r="I25" i="7"/>
  <c r="I9" i="8"/>
  <c r="I53" i="7"/>
  <c r="L62" i="6"/>
  <c r="L25" i="6"/>
  <c r="L71" i="6"/>
  <c r="L17" i="6"/>
  <c r="L43" i="6"/>
  <c r="B32" i="5"/>
  <c r="B35" i="5"/>
  <c r="Q58" i="7"/>
  <c r="N60" i="6"/>
  <c r="N47" i="6"/>
  <c r="O11" i="6"/>
  <c r="N51" i="6"/>
  <c r="N42" i="6"/>
  <c r="N23" i="6"/>
  <c r="N55" i="6"/>
  <c r="G116" i="7"/>
  <c r="G117" i="7" s="1"/>
  <c r="G36" i="7"/>
  <c r="M23" i="8"/>
  <c r="M123" i="7"/>
  <c r="O124" i="7"/>
  <c r="O26" i="8"/>
  <c r="C20" i="5"/>
  <c r="C31" i="5"/>
  <c r="C32" i="5" s="1"/>
  <c r="J24" i="7"/>
  <c r="M61" i="6"/>
  <c r="M75" i="6"/>
  <c r="M73" i="6"/>
  <c r="M79" i="6"/>
  <c r="N71" i="6" l="1"/>
  <c r="N25" i="6"/>
  <c r="N43" i="6"/>
  <c r="N62" i="6"/>
  <c r="N40" i="7"/>
  <c r="R29" i="6"/>
  <c r="V50" i="6"/>
  <c r="V76" i="6"/>
  <c r="N122" i="7"/>
  <c r="N21" i="8"/>
  <c r="Q24" i="8"/>
  <c r="Q125" i="7"/>
  <c r="M29" i="8"/>
  <c r="N7" i="8"/>
  <c r="J9" i="8"/>
  <c r="J25" i="8" s="1"/>
  <c r="J25" i="7"/>
  <c r="J53" i="7"/>
  <c r="J49" i="7"/>
  <c r="J59" i="7"/>
  <c r="G25" i="7"/>
  <c r="M16" i="6"/>
  <c r="M18" i="6" s="1"/>
  <c r="M15" i="6" s="1"/>
  <c r="N17" i="6" s="1"/>
  <c r="L26" i="6"/>
  <c r="L68" i="6"/>
  <c r="L27" i="6"/>
  <c r="V54" i="6"/>
  <c r="V78" i="6"/>
  <c r="O48" i="7"/>
  <c r="R55" i="7"/>
  <c r="B36" i="5"/>
  <c r="C35" i="5"/>
  <c r="C34" i="5"/>
  <c r="D19" i="4"/>
  <c r="V47" i="6"/>
  <c r="O60" i="6"/>
  <c r="P11" i="6"/>
  <c r="O51" i="6"/>
  <c r="O15" i="6"/>
  <c r="O42" i="6"/>
  <c r="O55" i="6"/>
  <c r="O47" i="6"/>
  <c r="O23" i="6"/>
  <c r="I27" i="7"/>
  <c r="L63" i="6"/>
  <c r="L64" i="6"/>
  <c r="T40" i="6"/>
  <c r="S72" i="6"/>
  <c r="S41" i="6"/>
  <c r="R58" i="7"/>
  <c r="K24" i="7"/>
  <c r="N61" i="6"/>
  <c r="N75" i="6"/>
  <c r="N79" i="6"/>
  <c r="N73" i="6"/>
  <c r="N77" i="6"/>
  <c r="M119" i="7"/>
  <c r="M20" i="8"/>
  <c r="Q124" i="7"/>
  <c r="Q26" i="8"/>
  <c r="J58" i="6"/>
  <c r="K9" i="6"/>
  <c r="P33" i="6"/>
  <c r="P32" i="6"/>
  <c r="O33" i="6"/>
  <c r="U40" i="6" l="1"/>
  <c r="T72" i="6"/>
  <c r="T41" i="6"/>
  <c r="S58" i="7"/>
  <c r="I11" i="8"/>
  <c r="I112" i="7"/>
  <c r="I113" i="7" s="1"/>
  <c r="I29" i="7"/>
  <c r="I28" i="7"/>
  <c r="N29" i="8"/>
  <c r="O7" i="8"/>
  <c r="K9" i="8"/>
  <c r="K25" i="7"/>
  <c r="K53" i="7"/>
  <c r="K49" i="7"/>
  <c r="K59" i="7"/>
  <c r="K56" i="7"/>
  <c r="O17" i="6"/>
  <c r="O71" i="6"/>
  <c r="O43" i="6"/>
  <c r="O25" i="6"/>
  <c r="O62" i="6"/>
  <c r="L24" i="7"/>
  <c r="O61" i="6"/>
  <c r="O77" i="6"/>
  <c r="O75" i="6"/>
  <c r="O73" i="6"/>
  <c r="O79" i="6"/>
  <c r="F104" i="7"/>
  <c r="L38" i="8" s="1"/>
  <c r="M104" i="7"/>
  <c r="I108" i="7"/>
  <c r="O42" i="8" s="1"/>
  <c r="H78" i="7"/>
  <c r="F40" i="8" s="1"/>
  <c r="N78" i="7"/>
  <c r="H107" i="7"/>
  <c r="N41" i="8" s="1"/>
  <c r="M108" i="7"/>
  <c r="J107" i="7"/>
  <c r="P41" i="8" s="1"/>
  <c r="N106" i="7"/>
  <c r="N104" i="7"/>
  <c r="H104" i="7"/>
  <c r="N38" i="8" s="1"/>
  <c r="O108" i="7"/>
  <c r="F106" i="7"/>
  <c r="L40" i="8" s="1"/>
  <c r="G107" i="7"/>
  <c r="M41" i="8" s="1"/>
  <c r="P105" i="7"/>
  <c r="M107" i="7"/>
  <c r="P107" i="7"/>
  <c r="M106" i="7"/>
  <c r="O104" i="7"/>
  <c r="P108" i="7"/>
  <c r="O105" i="7"/>
  <c r="Q104" i="7"/>
  <c r="N105" i="7"/>
  <c r="Q105" i="7"/>
  <c r="J106" i="7"/>
  <c r="P40" i="8" s="1"/>
  <c r="H105" i="7"/>
  <c r="N39" i="8" s="1"/>
  <c r="O107" i="7"/>
  <c r="G106" i="7"/>
  <c r="M40" i="8" s="1"/>
  <c r="H106" i="7"/>
  <c r="N40" i="8" s="1"/>
  <c r="N108" i="7"/>
  <c r="G108" i="7"/>
  <c r="M42" i="8" s="1"/>
  <c r="Q108" i="7"/>
  <c r="F105" i="7"/>
  <c r="L39" i="8" s="1"/>
  <c r="P104" i="7"/>
  <c r="J105" i="7"/>
  <c r="P39" i="8" s="1"/>
  <c r="F107" i="7"/>
  <c r="L41" i="8" s="1"/>
  <c r="O106" i="7"/>
  <c r="I105" i="7"/>
  <c r="O39" i="8" s="1"/>
  <c r="I106" i="7"/>
  <c r="O40" i="8" s="1"/>
  <c r="J108" i="7"/>
  <c r="P42" i="8" s="1"/>
  <c r="I104" i="7"/>
  <c r="O38" i="8" s="1"/>
  <c r="I107" i="7"/>
  <c r="O41" i="8" s="1"/>
  <c r="N107" i="7"/>
  <c r="P106" i="7"/>
  <c r="H108" i="7"/>
  <c r="N42" i="8" s="1"/>
  <c r="G104" i="7"/>
  <c r="M38" i="8" s="1"/>
  <c r="F108" i="7"/>
  <c r="L42" i="8" s="1"/>
  <c r="M105" i="7"/>
  <c r="G105" i="7"/>
  <c r="M39" i="8" s="1"/>
  <c r="Q106" i="7"/>
  <c r="D24" i="4"/>
  <c r="Q107" i="7"/>
  <c r="J104" i="7"/>
  <c r="P38" i="8" s="1"/>
  <c r="K58" i="6"/>
  <c r="H22" i="7" s="1"/>
  <c r="L9" i="6"/>
  <c r="O40" i="7"/>
  <c r="S29" i="6"/>
  <c r="N119" i="7"/>
  <c r="N20" i="8"/>
  <c r="R26" i="8"/>
  <c r="R124" i="7"/>
  <c r="R24" i="8"/>
  <c r="R125" i="7"/>
  <c r="K27" i="7"/>
  <c r="N64" i="6"/>
  <c r="N68" i="6"/>
  <c r="N27" i="6"/>
  <c r="J10" i="8"/>
  <c r="J27" i="8"/>
  <c r="J22" i="8"/>
  <c r="S55" i="7"/>
  <c r="D34" i="5"/>
  <c r="D35" i="5" s="1"/>
  <c r="C36" i="5"/>
  <c r="L69" i="6"/>
  <c r="L70" i="6"/>
  <c r="L65" i="6"/>
  <c r="M62" i="6"/>
  <c r="N63" i="6" s="1"/>
  <c r="M25" i="6"/>
  <c r="M43" i="6"/>
  <c r="M71" i="6"/>
  <c r="M17" i="6"/>
  <c r="P48" i="7"/>
  <c r="Q11" i="6"/>
  <c r="P55" i="6"/>
  <c r="P51" i="6"/>
  <c r="P60" i="6"/>
  <c r="P15" i="6"/>
  <c r="P47" i="6"/>
  <c r="P23" i="6"/>
  <c r="P42" i="6"/>
  <c r="O21" i="8"/>
  <c r="O122" i="7"/>
  <c r="M26" i="6" l="1"/>
  <c r="M68" i="6"/>
  <c r="M27" i="6"/>
  <c r="N70" i="6"/>
  <c r="N65" i="6"/>
  <c r="N69" i="6"/>
  <c r="P61" i="6"/>
  <c r="M24" i="7"/>
  <c r="P79" i="6"/>
  <c r="P77" i="6"/>
  <c r="P73" i="6"/>
  <c r="P75" i="6"/>
  <c r="P40" i="7"/>
  <c r="T29" i="6"/>
  <c r="I31" i="7"/>
  <c r="L67" i="6"/>
  <c r="L66" i="6"/>
  <c r="P62" i="6"/>
  <c r="P43" i="6"/>
  <c r="P25" i="6"/>
  <c r="P71" i="6"/>
  <c r="P17" i="6"/>
  <c r="I12" i="8"/>
  <c r="S26" i="8"/>
  <c r="S124" i="7"/>
  <c r="O119" i="7"/>
  <c r="O20" i="8"/>
  <c r="L58" i="6"/>
  <c r="I22" i="7" s="1"/>
  <c r="M9" i="6"/>
  <c r="Q51" i="6"/>
  <c r="Q60" i="6"/>
  <c r="Q45" i="6"/>
  <c r="Q55" i="6"/>
  <c r="Q42" i="6"/>
  <c r="E34" i="5"/>
  <c r="E35" i="5" s="1"/>
  <c r="D36" i="5"/>
  <c r="K112" i="7"/>
  <c r="K113" i="7" s="1"/>
  <c r="K11" i="8"/>
  <c r="K28" i="7"/>
  <c r="H111" i="7"/>
  <c r="H17" i="7"/>
  <c r="H18" i="7" s="1"/>
  <c r="L9" i="8"/>
  <c r="L25" i="7"/>
  <c r="L53" i="7"/>
  <c r="L56" i="7"/>
  <c r="L59" i="7"/>
  <c r="L49" i="7"/>
  <c r="S24" i="8"/>
  <c r="S125" i="7"/>
  <c r="O63" i="6"/>
  <c r="O64" i="6"/>
  <c r="L27" i="7"/>
  <c r="K10" i="8"/>
  <c r="K27" i="8"/>
  <c r="K22" i="8"/>
  <c r="K25" i="8"/>
  <c r="Q48" i="7"/>
  <c r="M64" i="6"/>
  <c r="M63" i="6"/>
  <c r="J27" i="7"/>
  <c r="N26" i="6"/>
  <c r="P122" i="7"/>
  <c r="P21" i="8"/>
  <c r="O26" i="6"/>
  <c r="O68" i="6"/>
  <c r="O27" i="6"/>
  <c r="O29" i="8"/>
  <c r="P7" i="8"/>
  <c r="U72" i="6"/>
  <c r="V40" i="6"/>
  <c r="U41" i="6"/>
  <c r="V72" i="6" l="1"/>
  <c r="V41" i="6"/>
  <c r="V20" i="6"/>
  <c r="R48" i="7"/>
  <c r="K12" i="8"/>
  <c r="P63" i="6"/>
  <c r="P64" i="6"/>
  <c r="M27" i="7"/>
  <c r="O69" i="6"/>
  <c r="O65" i="6"/>
  <c r="O70" i="6"/>
  <c r="Q122" i="7"/>
  <c r="Q21" i="8"/>
  <c r="F34" i="5"/>
  <c r="F35" i="5" s="1"/>
  <c r="F36" i="5" s="1"/>
  <c r="E36" i="5"/>
  <c r="J11" i="8"/>
  <c r="J29" i="7"/>
  <c r="J28" i="7"/>
  <c r="J112" i="7"/>
  <c r="J113" i="7" s="1"/>
  <c r="I121" i="7"/>
  <c r="I14" i="8"/>
  <c r="I46" i="7"/>
  <c r="I114" i="7" s="1"/>
  <c r="I115" i="7" s="1"/>
  <c r="I32" i="7"/>
  <c r="I33" i="7"/>
  <c r="I50" i="7"/>
  <c r="I35" i="7"/>
  <c r="Q7" i="8"/>
  <c r="P29" i="8"/>
  <c r="K29" i="7"/>
  <c r="P26" i="6"/>
  <c r="P68" i="6"/>
  <c r="P27" i="6"/>
  <c r="N9" i="6"/>
  <c r="M58" i="6"/>
  <c r="J22" i="7" s="1"/>
  <c r="I8" i="8"/>
  <c r="I66" i="7"/>
  <c r="I111" i="7"/>
  <c r="I17" i="7"/>
  <c r="I18" i="7" s="1"/>
  <c r="M9" i="8"/>
  <c r="M25" i="7"/>
  <c r="M59" i="7"/>
  <c r="M56" i="7"/>
  <c r="M53" i="7"/>
  <c r="M49" i="7"/>
  <c r="K31" i="7"/>
  <c r="N66" i="6"/>
  <c r="N67" i="6"/>
  <c r="L10" i="8"/>
  <c r="L25" i="8"/>
  <c r="L27" i="8"/>
  <c r="L22" i="8"/>
  <c r="Q46" i="6"/>
  <c r="Q74" i="6"/>
  <c r="U29" i="6"/>
  <c r="Q40" i="7"/>
  <c r="M70" i="6"/>
  <c r="M65" i="6"/>
  <c r="M69" i="6"/>
  <c r="L29" i="7"/>
  <c r="L112" i="7"/>
  <c r="L113" i="7" s="1"/>
  <c r="L11" i="8"/>
  <c r="L28" i="7"/>
  <c r="N24" i="7"/>
  <c r="Q61" i="6"/>
  <c r="Q79" i="6"/>
  <c r="Q77" i="6"/>
  <c r="Q73" i="6"/>
  <c r="P20" i="8"/>
  <c r="P119" i="7"/>
  <c r="J31" i="7" l="1"/>
  <c r="M67" i="6"/>
  <c r="M66" i="6"/>
  <c r="N58" i="6"/>
  <c r="K22" i="7" s="1"/>
  <c r="O9" i="6"/>
  <c r="Q20" i="8"/>
  <c r="Q119" i="7"/>
  <c r="P69" i="6"/>
  <c r="P65" i="6"/>
  <c r="P70" i="6"/>
  <c r="L13" i="8"/>
  <c r="L12" i="8"/>
  <c r="M28" i="7"/>
  <c r="M112" i="7"/>
  <c r="M113" i="7" s="1"/>
  <c r="M11" i="8"/>
  <c r="M29" i="7"/>
  <c r="J66" i="7"/>
  <c r="I67" i="7"/>
  <c r="J13" i="8"/>
  <c r="J12" i="8"/>
  <c r="J8" i="8"/>
  <c r="J111" i="7"/>
  <c r="J17" i="7"/>
  <c r="J18" i="7" s="1"/>
  <c r="I15" i="8"/>
  <c r="I17" i="8"/>
  <c r="I18" i="8" s="1"/>
  <c r="R122" i="7"/>
  <c r="R21" i="8"/>
  <c r="V29" i="6"/>
  <c r="S40" i="7" s="1"/>
  <c r="R40" i="7"/>
  <c r="Q75" i="6"/>
  <c r="N52" i="7"/>
  <c r="O66" i="6"/>
  <c r="L31" i="7"/>
  <c r="O67" i="6"/>
  <c r="S48" i="7"/>
  <c r="I116" i="7"/>
  <c r="I117" i="7" s="1"/>
  <c r="I39" i="7"/>
  <c r="I118" i="7" s="1"/>
  <c r="I42" i="7"/>
  <c r="I36" i="7"/>
  <c r="I37" i="7"/>
  <c r="K121" i="7"/>
  <c r="K14" i="8"/>
  <c r="K32" i="7"/>
  <c r="K33" i="7"/>
  <c r="K46" i="7"/>
  <c r="K114" i="7" s="1"/>
  <c r="K115" i="7" s="1"/>
  <c r="K50" i="7"/>
  <c r="K35" i="7"/>
  <c r="K13" i="8"/>
  <c r="N9" i="8"/>
  <c r="N25" i="7"/>
  <c r="N56" i="7"/>
  <c r="N59" i="7"/>
  <c r="N49" i="7"/>
  <c r="M10" i="8"/>
  <c r="M25" i="8"/>
  <c r="M27" i="8"/>
  <c r="M22" i="8"/>
  <c r="R7" i="8"/>
  <c r="Q29" i="8"/>
  <c r="P66" i="6" l="1"/>
  <c r="P67" i="6"/>
  <c r="M31" i="7"/>
  <c r="N23" i="8"/>
  <c r="N123" i="7"/>
  <c r="N53" i="7"/>
  <c r="N10" i="8"/>
  <c r="N25" i="8"/>
  <c r="N27" i="8"/>
  <c r="N22" i="8"/>
  <c r="S7" i="8"/>
  <c r="S29" i="8" s="1"/>
  <c r="R29" i="8"/>
  <c r="S122" i="7"/>
  <c r="S21" i="8"/>
  <c r="M13" i="8"/>
  <c r="M12" i="8"/>
  <c r="L14" i="8"/>
  <c r="L32" i="7"/>
  <c r="L33" i="7"/>
  <c r="L121" i="7"/>
  <c r="L46" i="7"/>
  <c r="L114" i="7" s="1"/>
  <c r="L115" i="7" s="1"/>
  <c r="L50" i="7"/>
  <c r="L35" i="7"/>
  <c r="P9" i="6"/>
  <c r="O58" i="6"/>
  <c r="L22" i="7" s="1"/>
  <c r="K8" i="8"/>
  <c r="K111" i="7"/>
  <c r="K17" i="7"/>
  <c r="K18" i="7" s="1"/>
  <c r="K15" i="8"/>
  <c r="K16" i="8"/>
  <c r="K17" i="8"/>
  <c r="R20" i="8"/>
  <c r="R119" i="7"/>
  <c r="J121" i="7"/>
  <c r="J14" i="8"/>
  <c r="J32" i="7"/>
  <c r="J33" i="7"/>
  <c r="J46" i="7"/>
  <c r="J114" i="7" s="1"/>
  <c r="J115" i="7" s="1"/>
  <c r="J50" i="7"/>
  <c r="J35" i="7"/>
  <c r="I120" i="7"/>
  <c r="I127" i="7" s="1"/>
  <c r="I61" i="7"/>
  <c r="I63" i="7" s="1"/>
  <c r="I64" i="7" s="1"/>
  <c r="I44" i="7"/>
  <c r="I43" i="7"/>
  <c r="J67" i="7"/>
  <c r="J30" i="8" s="1"/>
  <c r="K66" i="7"/>
  <c r="K116" i="7"/>
  <c r="K117" i="7" s="1"/>
  <c r="K36" i="7"/>
  <c r="K39" i="7"/>
  <c r="K118" i="7" s="1"/>
  <c r="S20" i="8"/>
  <c r="S119" i="7"/>
  <c r="L8" i="8" l="1"/>
  <c r="L111" i="7"/>
  <c r="L17" i="7"/>
  <c r="L18" i="7" s="1"/>
  <c r="J15" i="8"/>
  <c r="J16" i="8"/>
  <c r="J17" i="8"/>
  <c r="L15" i="8"/>
  <c r="L16" i="8"/>
  <c r="L17" i="8"/>
  <c r="J42" i="7"/>
  <c r="J36" i="7"/>
  <c r="J39" i="7"/>
  <c r="J118" i="7" s="1"/>
  <c r="J37" i="7"/>
  <c r="J116" i="7"/>
  <c r="J117" i="7" s="1"/>
  <c r="K37" i="7"/>
  <c r="Q9" i="6"/>
  <c r="P58" i="6"/>
  <c r="M22" i="7" s="1"/>
  <c r="K42" i="7"/>
  <c r="L116" i="7"/>
  <c r="L117" i="7" s="1"/>
  <c r="L36" i="7"/>
  <c r="L39" i="7"/>
  <c r="L118" i="7" s="1"/>
  <c r="L37" i="7"/>
  <c r="K67" i="7"/>
  <c r="K30" i="8" s="1"/>
  <c r="L66" i="7"/>
  <c r="M121" i="7"/>
  <c r="M33" i="7"/>
  <c r="M14" i="8"/>
  <c r="M32" i="7"/>
  <c r="M46" i="7"/>
  <c r="M114" i="7" s="1"/>
  <c r="M115" i="7" s="1"/>
  <c r="M50" i="7"/>
  <c r="M35" i="7"/>
  <c r="K18" i="8"/>
  <c r="K19" i="8"/>
  <c r="K28" i="8" s="1"/>
  <c r="Q58" i="6" l="1"/>
  <c r="N22" i="7" s="1"/>
  <c r="R9" i="6"/>
  <c r="K120" i="7"/>
  <c r="K127" i="7" s="1"/>
  <c r="K61" i="7"/>
  <c r="K63" i="7" s="1"/>
  <c r="K64" i="7" s="1"/>
  <c r="K44" i="7"/>
  <c r="K43" i="7"/>
  <c r="M15" i="8"/>
  <c r="M16" i="8"/>
  <c r="M17" i="8"/>
  <c r="M8" i="8"/>
  <c r="M111" i="7"/>
  <c r="M17" i="7"/>
  <c r="M18" i="7" s="1"/>
  <c r="J18" i="8"/>
  <c r="J19" i="8"/>
  <c r="J28" i="8" s="1"/>
  <c r="J31" i="8" s="1"/>
  <c r="L67" i="7"/>
  <c r="L30" i="8" s="1"/>
  <c r="M66" i="7"/>
  <c r="K31" i="8"/>
  <c r="L42" i="7"/>
  <c r="J120" i="7"/>
  <c r="J127" i="7" s="1"/>
  <c r="J61" i="7"/>
  <c r="J63" i="7" s="1"/>
  <c r="J64" i="7" s="1"/>
  <c r="J44" i="7"/>
  <c r="J43" i="7"/>
  <c r="M37" i="7"/>
  <c r="M116" i="7"/>
  <c r="M117" i="7" s="1"/>
  <c r="M36" i="7"/>
  <c r="M39" i="7"/>
  <c r="M118" i="7" s="1"/>
  <c r="L18" i="8"/>
  <c r="L19" i="8"/>
  <c r="L28" i="8" s="1"/>
  <c r="M18" i="8" l="1"/>
  <c r="M19" i="8"/>
  <c r="M28" i="8" s="1"/>
  <c r="L120" i="7"/>
  <c r="L127" i="7" s="1"/>
  <c r="L61" i="7"/>
  <c r="L63" i="7" s="1"/>
  <c r="L64" i="7" s="1"/>
  <c r="L44" i="7"/>
  <c r="L43" i="7"/>
  <c r="M67" i="7"/>
  <c r="M30" i="8" s="1"/>
  <c r="N66" i="7"/>
  <c r="L31" i="8"/>
  <c r="M42" i="7"/>
  <c r="R58" i="6"/>
  <c r="O22" i="7" s="1"/>
  <c r="S9" i="6"/>
  <c r="N8" i="8"/>
  <c r="N111" i="7"/>
  <c r="N17" i="7"/>
  <c r="N18" i="7" s="1"/>
  <c r="O8" i="8" l="1"/>
  <c r="O111" i="7"/>
  <c r="O17" i="7"/>
  <c r="O18" i="7" s="1"/>
  <c r="M31" i="8"/>
  <c r="S58" i="6"/>
  <c r="P22" i="7" s="1"/>
  <c r="T9" i="6"/>
  <c r="M120" i="7"/>
  <c r="M127" i="7" s="1"/>
  <c r="M61" i="7"/>
  <c r="M63" i="7" s="1"/>
  <c r="M64" i="7" s="1"/>
  <c r="M44" i="7"/>
  <c r="M43" i="7"/>
  <c r="O66" i="7"/>
  <c r="N67" i="7"/>
  <c r="N30" i="8" s="1"/>
  <c r="P8" i="8" l="1"/>
  <c r="P111" i="7"/>
  <c r="P17" i="7"/>
  <c r="P18" i="7" s="1"/>
  <c r="T58" i="6"/>
  <c r="Q22" i="7" s="1"/>
  <c r="U9" i="6"/>
  <c r="P66" i="7"/>
  <c r="O67" i="7"/>
  <c r="O30" i="8" s="1"/>
  <c r="V9" i="6" l="1"/>
  <c r="V58" i="6" s="1"/>
  <c r="S22" i="7" s="1"/>
  <c r="U58" i="6"/>
  <c r="R22" i="7" s="1"/>
  <c r="P67" i="7"/>
  <c r="P30" i="8" s="1"/>
  <c r="Q66" i="7"/>
  <c r="Q111" i="7"/>
  <c r="Q17" i="7"/>
  <c r="Q18" i="7" s="1"/>
  <c r="Q8" i="8"/>
  <c r="Q67" i="7" l="1"/>
  <c r="Q30" i="8" s="1"/>
  <c r="R66" i="7"/>
  <c r="R111" i="7"/>
  <c r="R17" i="7"/>
  <c r="R18" i="7" s="1"/>
  <c r="R8" i="8"/>
  <c r="S111" i="7"/>
  <c r="S17" i="7"/>
  <c r="S18" i="7" s="1"/>
  <c r="S8" i="8"/>
  <c r="R67" i="7" l="1"/>
  <c r="R30" i="8" s="1"/>
  <c r="S66" i="7"/>
  <c r="S67" i="7" s="1"/>
  <c r="S30" i="8" s="1"/>
  <c r="R11" i="6"/>
  <c r="S11" i="6"/>
  <c r="T11" i="6"/>
  <c r="U11" i="6"/>
  <c r="V11" i="6"/>
  <c r="R13" i="6"/>
  <c r="S13" i="6"/>
  <c r="T13" i="6"/>
  <c r="U13" i="6"/>
  <c r="Q15" i="6"/>
  <c r="R15" i="6"/>
  <c r="S15" i="6"/>
  <c r="T15" i="6"/>
  <c r="U15" i="6"/>
  <c r="V15" i="6"/>
  <c r="Q17" i="6"/>
  <c r="R17" i="6"/>
  <c r="S17" i="6"/>
  <c r="T17" i="6"/>
  <c r="U17" i="6"/>
  <c r="V17" i="6"/>
  <c r="Q18" i="6"/>
  <c r="R18" i="6"/>
  <c r="S18" i="6"/>
  <c r="T18" i="6"/>
  <c r="U18" i="6"/>
  <c r="Q20" i="6"/>
  <c r="R20" i="6"/>
  <c r="S20" i="6"/>
  <c r="T20" i="6"/>
  <c r="U20" i="6"/>
  <c r="Q21" i="6"/>
  <c r="R21" i="6"/>
  <c r="S21" i="6"/>
  <c r="T21" i="6"/>
  <c r="U21" i="6"/>
  <c r="V21" i="6"/>
  <c r="Q22" i="6"/>
  <c r="R22" i="6"/>
  <c r="S22" i="6"/>
  <c r="T22" i="6"/>
  <c r="U22" i="6"/>
  <c r="Q23" i="6"/>
  <c r="R23" i="6"/>
  <c r="S23" i="6"/>
  <c r="T23" i="6"/>
  <c r="U23" i="6"/>
  <c r="V23" i="6"/>
  <c r="Q25" i="6"/>
  <c r="R25" i="6"/>
  <c r="S25" i="6"/>
  <c r="T25" i="6"/>
  <c r="U25" i="6"/>
  <c r="V25" i="6"/>
  <c r="Q26" i="6"/>
  <c r="R26" i="6"/>
  <c r="S26" i="6"/>
  <c r="T26" i="6"/>
  <c r="U26" i="6"/>
  <c r="V26" i="6"/>
  <c r="Q27" i="6"/>
  <c r="R27" i="6"/>
  <c r="S27" i="6"/>
  <c r="T27" i="6"/>
  <c r="U27" i="6"/>
  <c r="V27" i="6"/>
  <c r="R42" i="6"/>
  <c r="S42" i="6"/>
  <c r="T42" i="6"/>
  <c r="U42" i="6"/>
  <c r="V42" i="6"/>
  <c r="Q43" i="6"/>
  <c r="R43" i="6"/>
  <c r="S43" i="6"/>
  <c r="T43" i="6"/>
  <c r="U43" i="6"/>
  <c r="V43" i="6"/>
  <c r="R45" i="6"/>
  <c r="S45" i="6"/>
  <c r="T45" i="6"/>
  <c r="U45" i="6"/>
  <c r="V45" i="6"/>
  <c r="R46" i="6"/>
  <c r="S46" i="6"/>
  <c r="T46" i="6"/>
  <c r="U46" i="6"/>
  <c r="V46" i="6"/>
  <c r="R51" i="6"/>
  <c r="S51" i="6"/>
  <c r="T51" i="6"/>
  <c r="U51" i="6"/>
  <c r="V51" i="6"/>
  <c r="R55" i="6"/>
  <c r="S55" i="6"/>
  <c r="T55" i="6"/>
  <c r="U55" i="6"/>
  <c r="V55" i="6"/>
  <c r="R60" i="6"/>
  <c r="S60" i="6"/>
  <c r="T60" i="6"/>
  <c r="U60" i="6"/>
  <c r="V60" i="6"/>
  <c r="R61" i="6"/>
  <c r="S61" i="6"/>
  <c r="T61" i="6"/>
  <c r="U61" i="6"/>
  <c r="V61" i="6"/>
  <c r="Q62" i="6"/>
  <c r="R62" i="6"/>
  <c r="S62" i="6"/>
  <c r="T62" i="6"/>
  <c r="U62" i="6"/>
  <c r="V62" i="6"/>
  <c r="Q63" i="6"/>
  <c r="R63" i="6"/>
  <c r="S63" i="6"/>
  <c r="T63" i="6"/>
  <c r="U63" i="6"/>
  <c r="V63" i="6"/>
  <c r="Q64" i="6"/>
  <c r="R64" i="6"/>
  <c r="S64" i="6"/>
  <c r="T64" i="6"/>
  <c r="U64" i="6"/>
  <c r="V64" i="6"/>
  <c r="Q65" i="6"/>
  <c r="R65" i="6"/>
  <c r="S65" i="6"/>
  <c r="T65" i="6"/>
  <c r="U65" i="6"/>
  <c r="V65" i="6"/>
  <c r="Q66" i="6"/>
  <c r="R66" i="6"/>
  <c r="S66" i="6"/>
  <c r="T66" i="6"/>
  <c r="U66" i="6"/>
  <c r="V66" i="6"/>
  <c r="Q67" i="6"/>
  <c r="R67" i="6"/>
  <c r="S67" i="6"/>
  <c r="T67" i="6"/>
  <c r="U67" i="6"/>
  <c r="V67" i="6"/>
  <c r="Q68" i="6"/>
  <c r="R68" i="6"/>
  <c r="S68" i="6"/>
  <c r="T68" i="6"/>
  <c r="U68" i="6"/>
  <c r="V68" i="6"/>
  <c r="Q69" i="6"/>
  <c r="R69" i="6"/>
  <c r="S69" i="6"/>
  <c r="T69" i="6"/>
  <c r="U69" i="6"/>
  <c r="V69" i="6"/>
  <c r="Q70" i="6"/>
  <c r="R70" i="6"/>
  <c r="S70" i="6"/>
  <c r="T70" i="6"/>
  <c r="U70" i="6"/>
  <c r="V70" i="6"/>
  <c r="Q71" i="6"/>
  <c r="R71" i="6"/>
  <c r="S71" i="6"/>
  <c r="T71" i="6"/>
  <c r="U71" i="6"/>
  <c r="V71" i="6"/>
  <c r="R73" i="6"/>
  <c r="S73" i="6"/>
  <c r="T73" i="6"/>
  <c r="U73" i="6"/>
  <c r="V73" i="6"/>
  <c r="R74" i="6"/>
  <c r="S74" i="6"/>
  <c r="T74" i="6"/>
  <c r="U74" i="6"/>
  <c r="V74" i="6"/>
  <c r="R75" i="6"/>
  <c r="S75" i="6"/>
  <c r="T75" i="6"/>
  <c r="U75" i="6"/>
  <c r="V75" i="6"/>
  <c r="R77" i="6"/>
  <c r="S77" i="6"/>
  <c r="T77" i="6"/>
  <c r="U77" i="6"/>
  <c r="V77" i="6"/>
  <c r="R79" i="6"/>
  <c r="S79" i="6"/>
  <c r="T79" i="6"/>
  <c r="U79" i="6"/>
  <c r="V79" i="6"/>
  <c r="O24" i="7"/>
  <c r="P24" i="7"/>
  <c r="Q24" i="7"/>
  <c r="R24" i="7"/>
  <c r="S24" i="7"/>
  <c r="O25" i="7"/>
  <c r="P25" i="7"/>
  <c r="Q25" i="7"/>
  <c r="R25" i="7"/>
  <c r="S25" i="7"/>
  <c r="N27" i="7"/>
  <c r="O27" i="7"/>
  <c r="P27" i="7"/>
  <c r="Q27" i="7"/>
  <c r="R27" i="7"/>
  <c r="S27" i="7"/>
  <c r="N28" i="7"/>
  <c r="O28" i="7"/>
  <c r="P28" i="7"/>
  <c r="Q28" i="7"/>
  <c r="R28" i="7"/>
  <c r="S28" i="7"/>
  <c r="N29" i="7"/>
  <c r="O29" i="7"/>
  <c r="P29" i="7"/>
  <c r="Q29" i="7"/>
  <c r="R29" i="7"/>
  <c r="S29" i="7"/>
  <c r="N31" i="7"/>
  <c r="O31" i="7"/>
  <c r="P31" i="7"/>
  <c r="Q31" i="7"/>
  <c r="R31" i="7"/>
  <c r="S31" i="7"/>
  <c r="N32" i="7"/>
  <c r="O32" i="7"/>
  <c r="P32" i="7"/>
  <c r="Q32" i="7"/>
  <c r="R32" i="7"/>
  <c r="S32" i="7"/>
  <c r="N33" i="7"/>
  <c r="O33" i="7"/>
  <c r="P33" i="7"/>
  <c r="Q33" i="7"/>
  <c r="R33" i="7"/>
  <c r="S33" i="7"/>
  <c r="N35" i="7"/>
  <c r="O35" i="7"/>
  <c r="P35" i="7"/>
  <c r="Q35" i="7"/>
  <c r="R35" i="7"/>
  <c r="S35" i="7"/>
  <c r="N36" i="7"/>
  <c r="O36" i="7"/>
  <c r="P36" i="7"/>
  <c r="Q36" i="7"/>
  <c r="R36" i="7"/>
  <c r="S36" i="7"/>
  <c r="N37" i="7"/>
  <c r="O37" i="7"/>
  <c r="P37" i="7"/>
  <c r="Q37" i="7"/>
  <c r="R37" i="7"/>
  <c r="S37" i="7"/>
  <c r="N39" i="7"/>
  <c r="O39" i="7"/>
  <c r="P39" i="7"/>
  <c r="Q39" i="7"/>
  <c r="R39" i="7"/>
  <c r="S39" i="7"/>
  <c r="N42" i="7"/>
  <c r="O42" i="7"/>
  <c r="P42" i="7"/>
  <c r="Q42" i="7"/>
  <c r="R42" i="7"/>
  <c r="S42" i="7"/>
  <c r="N43" i="7"/>
  <c r="O43" i="7"/>
  <c r="P43" i="7"/>
  <c r="Q43" i="7"/>
  <c r="R43" i="7"/>
  <c r="S43" i="7"/>
  <c r="N44" i="7"/>
  <c r="O44" i="7"/>
  <c r="P44" i="7"/>
  <c r="Q44" i="7"/>
  <c r="R44" i="7"/>
  <c r="S44" i="7"/>
  <c r="N46" i="7"/>
  <c r="O46" i="7"/>
  <c r="P46" i="7"/>
  <c r="Q46" i="7"/>
  <c r="R46" i="7"/>
  <c r="S46" i="7"/>
  <c r="O49" i="7"/>
  <c r="P49" i="7"/>
  <c r="Q49" i="7"/>
  <c r="R49" i="7"/>
  <c r="S49" i="7"/>
  <c r="N50" i="7"/>
  <c r="O50" i="7"/>
  <c r="P50" i="7"/>
  <c r="Q50" i="7"/>
  <c r="R50" i="7"/>
  <c r="S50" i="7"/>
  <c r="O52" i="7"/>
  <c r="P52" i="7"/>
  <c r="Q52" i="7"/>
  <c r="R52" i="7"/>
  <c r="S52" i="7"/>
  <c r="O53" i="7"/>
  <c r="P53" i="7"/>
  <c r="Q53" i="7"/>
  <c r="R53" i="7"/>
  <c r="S53" i="7"/>
  <c r="O56" i="7"/>
  <c r="P56" i="7"/>
  <c r="Q56" i="7"/>
  <c r="R56" i="7"/>
  <c r="S56" i="7"/>
  <c r="O59" i="7"/>
  <c r="P59" i="7"/>
  <c r="Q59" i="7"/>
  <c r="R59" i="7"/>
  <c r="S59" i="7"/>
  <c r="N61" i="7"/>
  <c r="O61" i="7"/>
  <c r="P61" i="7"/>
  <c r="Q61" i="7"/>
  <c r="R61" i="7"/>
  <c r="S61" i="7"/>
  <c r="N63" i="7"/>
  <c r="O63" i="7"/>
  <c r="P63" i="7"/>
  <c r="Q63" i="7"/>
  <c r="R63" i="7"/>
  <c r="S63" i="7"/>
  <c r="N64" i="7"/>
  <c r="O64" i="7"/>
  <c r="P64" i="7"/>
  <c r="Q64" i="7"/>
  <c r="R64" i="7"/>
  <c r="S64" i="7"/>
  <c r="T69" i="7"/>
  <c r="T70" i="7"/>
  <c r="H75" i="7"/>
  <c r="I75" i="7"/>
  <c r="N75" i="7"/>
  <c r="O75" i="7"/>
  <c r="H76" i="7"/>
  <c r="I76" i="7"/>
  <c r="N76" i="7"/>
  <c r="O76" i="7"/>
  <c r="H77" i="7"/>
  <c r="I77" i="7"/>
  <c r="N77" i="7"/>
  <c r="O77" i="7"/>
  <c r="H79" i="7"/>
  <c r="N79" i="7"/>
  <c r="H80" i="7"/>
  <c r="N80" i="7"/>
  <c r="H81" i="7"/>
  <c r="N81" i="7"/>
  <c r="E94" i="7"/>
  <c r="L94" i="7"/>
  <c r="E103" i="7"/>
  <c r="L103" i="7"/>
  <c r="N112" i="7"/>
  <c r="O112" i="7"/>
  <c r="P112" i="7"/>
  <c r="Q112" i="7"/>
  <c r="R112" i="7"/>
  <c r="S112" i="7"/>
  <c r="N113" i="7"/>
  <c r="O113" i="7"/>
  <c r="P113" i="7"/>
  <c r="Q113" i="7"/>
  <c r="R113" i="7"/>
  <c r="S113" i="7"/>
  <c r="N114" i="7"/>
  <c r="O114" i="7"/>
  <c r="P114" i="7"/>
  <c r="Q114" i="7"/>
  <c r="R114" i="7"/>
  <c r="S114" i="7"/>
  <c r="N115" i="7"/>
  <c r="O115" i="7"/>
  <c r="P115" i="7"/>
  <c r="Q115" i="7"/>
  <c r="R115" i="7"/>
  <c r="S115" i="7"/>
  <c r="N116" i="7"/>
  <c r="O116" i="7"/>
  <c r="P116" i="7"/>
  <c r="Q116" i="7"/>
  <c r="R116" i="7"/>
  <c r="S116" i="7"/>
  <c r="N117" i="7"/>
  <c r="O117" i="7"/>
  <c r="P117" i="7"/>
  <c r="Q117" i="7"/>
  <c r="R117" i="7"/>
  <c r="S117" i="7"/>
  <c r="N118" i="7"/>
  <c r="O118" i="7"/>
  <c r="P118" i="7"/>
  <c r="Q118" i="7"/>
  <c r="R118" i="7"/>
  <c r="S118" i="7"/>
  <c r="N120" i="7"/>
  <c r="O120" i="7"/>
  <c r="P120" i="7"/>
  <c r="Q120" i="7"/>
  <c r="R120" i="7"/>
  <c r="S120" i="7"/>
  <c r="N121" i="7"/>
  <c r="O121" i="7"/>
  <c r="P121" i="7"/>
  <c r="Q121" i="7"/>
  <c r="R121" i="7"/>
  <c r="S121" i="7"/>
  <c r="O123" i="7"/>
  <c r="P123" i="7"/>
  <c r="Q123" i="7"/>
  <c r="R123" i="7"/>
  <c r="S123" i="7"/>
  <c r="N127" i="7"/>
  <c r="O127" i="7"/>
  <c r="P127" i="7"/>
  <c r="Q127" i="7"/>
  <c r="R127" i="7"/>
  <c r="S127" i="7"/>
  <c r="O9" i="8"/>
  <c r="P9" i="8"/>
  <c r="Q9" i="8"/>
  <c r="R9" i="8"/>
  <c r="S9" i="8"/>
  <c r="O10" i="8"/>
  <c r="P10" i="8"/>
  <c r="Q10" i="8"/>
  <c r="R10" i="8"/>
  <c r="S10" i="8"/>
  <c r="N11" i="8"/>
  <c r="O11" i="8"/>
  <c r="P11" i="8"/>
  <c r="Q11" i="8"/>
  <c r="R11" i="8"/>
  <c r="S11" i="8"/>
  <c r="N12" i="8"/>
  <c r="O12" i="8"/>
  <c r="P12" i="8"/>
  <c r="Q12" i="8"/>
  <c r="R12" i="8"/>
  <c r="S12" i="8"/>
  <c r="N13" i="8"/>
  <c r="O13" i="8"/>
  <c r="P13" i="8"/>
  <c r="Q13" i="8"/>
  <c r="R13" i="8"/>
  <c r="S13" i="8"/>
  <c r="N14" i="8"/>
  <c r="O14" i="8"/>
  <c r="P14" i="8"/>
  <c r="Q14" i="8"/>
  <c r="R14" i="8"/>
  <c r="S14" i="8"/>
  <c r="N15" i="8"/>
  <c r="O15" i="8"/>
  <c r="P15" i="8"/>
  <c r="Q15" i="8"/>
  <c r="R15" i="8"/>
  <c r="S15" i="8"/>
  <c r="N16" i="8"/>
  <c r="O16" i="8"/>
  <c r="P16" i="8"/>
  <c r="Q16" i="8"/>
  <c r="R16" i="8"/>
  <c r="S16" i="8"/>
  <c r="N17" i="8"/>
  <c r="O17" i="8"/>
  <c r="P17" i="8"/>
  <c r="Q17" i="8"/>
  <c r="R17" i="8"/>
  <c r="S17" i="8"/>
  <c r="N18" i="8"/>
  <c r="O18" i="8"/>
  <c r="P18" i="8"/>
  <c r="Q18" i="8"/>
  <c r="R18" i="8"/>
  <c r="S18" i="8"/>
  <c r="N19" i="8"/>
  <c r="O19" i="8"/>
  <c r="P19" i="8"/>
  <c r="Q19" i="8"/>
  <c r="R19" i="8"/>
  <c r="S19" i="8"/>
  <c r="O22" i="8"/>
  <c r="P22" i="8"/>
  <c r="Q22" i="8"/>
  <c r="R22" i="8"/>
  <c r="S22" i="8"/>
  <c r="O23" i="8"/>
  <c r="P23" i="8"/>
  <c r="Q23" i="8"/>
  <c r="R23" i="8"/>
  <c r="S23" i="8"/>
  <c r="O25" i="8"/>
  <c r="P25" i="8"/>
  <c r="Q25" i="8"/>
  <c r="R25" i="8"/>
  <c r="S25" i="8"/>
  <c r="O27" i="8"/>
  <c r="P27" i="8"/>
  <c r="Q27" i="8"/>
  <c r="R27" i="8"/>
  <c r="S27" i="8"/>
  <c r="N28" i="8"/>
  <c r="O28" i="8"/>
  <c r="P28" i="8"/>
  <c r="Q28" i="8"/>
  <c r="R28" i="8"/>
  <c r="S28" i="8"/>
  <c r="T28" i="8"/>
  <c r="N31" i="8"/>
  <c r="O31" i="8"/>
  <c r="P31" i="8"/>
  <c r="Q31" i="8"/>
  <c r="R31" i="8"/>
  <c r="S31" i="8"/>
  <c r="T31" i="8"/>
  <c r="F37" i="8"/>
  <c r="G37" i="8"/>
  <c r="F38" i="8"/>
  <c r="G38" i="8"/>
  <c r="F39" i="8"/>
  <c r="G39" i="8"/>
  <c r="F41" i="8"/>
  <c r="F42" i="8"/>
  <c r="F4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  <charset val="1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
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9" authorId="0" shapeId="0" xr:uid="{00000000-0006-0000-0300-000001000000}">
      <text>
        <r>
          <rPr>
            <sz val="10"/>
            <color theme="1"/>
            <rFont val="Arial"/>
            <family val="2"/>
            <charset val="1"/>
          </rPr>
          <t>Soni, Sushant: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9" authorId="0" shapeId="0" xr:uid="{00000000-0006-0000-0500-000001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G9" authorId="0" shapeId="0" xr:uid="{00000000-0006-0000-0500-000002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H9" authorId="0" shapeId="0" xr:uid="{00000000-0006-0000-0500-000003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I9" authorId="0" shapeId="0" xr:uid="{00000000-0006-0000-0500-000004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J9" authorId="0" shapeId="0" xr:uid="{00000000-0006-0000-0500-000005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K9" authorId="0" shapeId="0" xr:uid="{00000000-0006-0000-0500-000006000000}">
      <text>
        <r>
          <rPr>
            <sz val="10"/>
            <color theme="1"/>
            <rFont val="Arial"/>
            <family val="2"/>
            <charset val="1"/>
          </rPr>
          <t>Chauhan, Soumya:
Using company report</t>
        </r>
      </text>
    </comment>
    <comment ref="Q13" authorId="0" shapeId="0" xr:uid="{00000000-0006-0000-0500-000007000000}">
      <text>
        <r>
          <rPr>
            <sz val="10"/>
            <color theme="1"/>
            <rFont val="Arial"/>
            <family val="2"/>
            <charset val="1"/>
          </rPr>
          <t>Chauhan, Soumya:
Assumed growth</t>
        </r>
      </text>
    </comment>
    <comment ref="V13" authorId="0" shapeId="0" xr:uid="{00000000-0006-0000-0500-000008000000}">
      <text>
        <r>
          <rPr>
            <sz val="10"/>
            <color theme="1"/>
            <rFont val="Arial"/>
            <family val="2"/>
            <charset val="1"/>
          </rPr>
          <t>Chauhan, Soumya:
Assumed growth</t>
        </r>
      </text>
    </comment>
    <comment ref="V18" authorId="0" shapeId="0" xr:uid="{00000000-0006-0000-0500-000009000000}">
      <text>
        <r>
          <rPr>
            <sz val="10"/>
            <color theme="1"/>
            <rFont val="Arial"/>
            <family val="2"/>
            <charset val="1"/>
          </rPr>
          <t>Chauhan, Soumya:
Assumed growth</t>
        </r>
      </text>
    </comment>
    <comment ref="V22" authorId="0" shapeId="0" xr:uid="{00000000-0006-0000-0500-00000A000000}">
      <text>
        <r>
          <rPr>
            <sz val="10"/>
            <color theme="1"/>
            <rFont val="Arial"/>
            <family val="2"/>
            <charset val="1"/>
          </rPr>
          <t>Chauhan, Soumya:
Assumed % based on last 15 years average</t>
        </r>
      </text>
    </comment>
    <comment ref="K29" authorId="0" shapeId="0" xr:uid="{00000000-0006-0000-0500-00000B000000}">
      <text>
        <r>
          <rPr>
            <sz val="10"/>
            <color theme="1"/>
            <rFont val="Arial"/>
            <family val="2"/>
            <charset val="1"/>
          </rPr>
          <t>Chauhan, Soumya:
Corporate tax rate</t>
        </r>
      </text>
    </comment>
    <comment ref="L29" authorId="0" shapeId="0" xr:uid="{00000000-0006-0000-0500-00000C000000}">
      <text>
        <r>
          <rPr>
            <sz val="10"/>
            <color theme="1"/>
            <rFont val="Arial"/>
            <family val="2"/>
            <charset val="1"/>
          </rPr>
          <t>Chauhan, Soumya:
Corporate tax rate</t>
        </r>
      </text>
    </comment>
    <comment ref="M29" authorId="0" shapeId="0" xr:uid="{00000000-0006-0000-0500-00000D000000}">
      <text>
        <r>
          <rPr>
            <sz val="10"/>
            <color theme="1"/>
            <rFont val="Arial"/>
            <family val="2"/>
            <charset val="1"/>
          </rPr>
          <t>Chauhan, Soumya:
Corporate tax rate</t>
        </r>
      </text>
    </comment>
    <comment ref="F31" authorId="0" shapeId="0" xr:uid="{00000000-0006-0000-0500-00000E000000}">
      <text>
        <r>
          <rPr>
            <sz val="10"/>
            <color theme="1"/>
            <rFont val="Arial"/>
            <family val="2"/>
            <charset val="1"/>
          </rPr>
          <t>Sukant Gupta:
Pg 42/118 ARF15</t>
        </r>
      </text>
    </comment>
    <comment ref="G31" authorId="0" shapeId="0" xr:uid="{00000000-0006-0000-0500-00000F000000}">
      <text>
        <r>
          <rPr>
            <sz val="10"/>
            <color theme="1"/>
            <rFont val="Arial"/>
            <family val="2"/>
            <charset val="1"/>
          </rPr>
          <t>Sukant Gupta:
Pg 38 (42/126) ARF16</t>
        </r>
      </text>
    </comment>
    <comment ref="H31" authorId="0" shapeId="0" xr:uid="{00000000-0006-0000-0500-000010000000}">
      <text>
        <r>
          <rPr>
            <sz val="10"/>
            <color theme="1"/>
            <rFont val="Arial"/>
            <family val="2"/>
            <charset val="1"/>
          </rPr>
          <t>Sukant Gupta:
Pg 128/152 ARF17</t>
        </r>
      </text>
    </comment>
    <comment ref="I31" authorId="0" shapeId="0" xr:uid="{00000000-0006-0000-0500-000011000000}">
      <text>
        <r>
          <rPr>
            <sz val="10"/>
            <color theme="1"/>
            <rFont val="Arial"/>
            <family val="2"/>
            <charset val="1"/>
          </rPr>
          <t>Sukant Gupta:
Pg 100 (102/156) ARF18</t>
        </r>
      </text>
    </comment>
    <comment ref="J31" authorId="0" shapeId="0" xr:uid="{00000000-0006-0000-0500-000012000000}">
      <text>
        <r>
          <rPr>
            <sz val="10"/>
            <color theme="1"/>
            <rFont val="Arial"/>
            <family val="2"/>
            <charset val="1"/>
          </rPr>
          <t>Sukant Gupta:
Pg 100 (102/156) ARF18</t>
        </r>
      </text>
    </comment>
    <comment ref="K31" authorId="0" shapeId="0" xr:uid="{00000000-0006-0000-0500-000013000000}">
      <text>
        <r>
          <rPr>
            <sz val="10"/>
            <color theme="1"/>
            <rFont val="Arial"/>
            <family val="2"/>
            <charset val="1"/>
          </rPr>
          <t>Soni, Sushant:
Pg 15/29 FS FY19</t>
        </r>
      </text>
    </comment>
    <comment ref="C45" authorId="0" shapeId="0" xr:uid="{00000000-0006-0000-0500-000014000000}">
      <text>
        <r>
          <rPr>
            <sz val="10"/>
            <color theme="1"/>
            <rFont val="Arial"/>
            <family val="2"/>
            <charset val="1"/>
          </rPr>
          <t>Change in inventories, receivables and payables</t>
        </r>
      </text>
    </comment>
    <comment ref="Q47" authorId="0" shapeId="0" xr:uid="{00000000-0006-0000-0500-000015000000}">
      <text>
        <r>
          <rPr>
            <sz val="10"/>
            <color theme="1"/>
            <rFont val="Arial"/>
            <family val="2"/>
            <charset val="1"/>
          </rPr>
          <t>Chauhan, Soumya:
Earlier 0%</t>
        </r>
      </text>
    </comment>
    <comment ref="Q49" authorId="0" shapeId="0" xr:uid="{00000000-0006-0000-0500-000016000000}">
      <text>
        <r>
          <rPr>
            <sz val="10"/>
            <color theme="1"/>
            <rFont val="Arial"/>
            <family val="2"/>
            <charset val="1"/>
          </rPr>
          <t>Chauhan, Soumya:
Assumed stays constant</t>
        </r>
      </text>
    </comment>
    <comment ref="Q53" authorId="0" shapeId="0" xr:uid="{00000000-0006-0000-0500-000017000000}">
      <text>
        <r>
          <rPr>
            <sz val="10"/>
            <color theme="1"/>
            <rFont val="Arial"/>
            <family val="2"/>
            <charset val="1"/>
          </rPr>
          <t>Chauhan, Soumya:
Assumed no further exceptional</t>
        </r>
      </text>
    </comment>
  </commentList>
</comments>
</file>

<file path=xl/sharedStrings.xml><?xml version="1.0" encoding="utf-8"?>
<sst xmlns="http://schemas.openxmlformats.org/spreadsheetml/2006/main" count="265" uniqueCount="157">
  <si>
    <t>Happy Hour Co - 5 Year plan</t>
  </si>
  <si>
    <t xml:space="preserve">5 Year Plan </t>
  </si>
  <si>
    <t>FY20</t>
  </si>
  <si>
    <t>FY21</t>
  </si>
  <si>
    <t>FY22</t>
  </si>
  <si>
    <t>FY23</t>
  </si>
  <si>
    <t>FY24</t>
  </si>
  <si>
    <t>Revenue</t>
  </si>
  <si>
    <t>YoY growth %</t>
  </si>
  <si>
    <t>GP $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</si>
  <si>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</si>
  <si>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</si>
  <si>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</si>
  <si>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</si>
  <si>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</si>
  <si>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</si>
  <si>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</si>
  <si>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</si>
  <si>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</si>
  <si>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</si>
  <si>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</si>
  <si>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</si>
  <si>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</si>
  <si>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Capex</t>
  </si>
  <si>
    <t>Acquisition</t>
  </si>
  <si>
    <t>Tax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</si>
  <si>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</si>
  <si>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</si>
  <si>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</si>
  <si>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</si>
  <si>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</si>
  <si>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</si>
  <si>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</si>
  <si>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</si>
  <si>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</si>
  <si>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TASK 4 UPDATE: FY21 Revenue revised to $1,100mm, GM% set to 50.0%</t>
  </si>
  <si>
    <t>This sheet contains FactSet XML data for use with this workbook's =FDS codes.  Modifying the worksheet's contents may damage the workbook's =FDS functionality.</t>
  </si>
  <si>
    <t>Happy Hour Co — MODEL</t>
  </si>
  <si>
    <t xml:space="preserve">S T R I C T L Y    P R I V A T E    A N D    C O N F I D E N T I A L </t>
  </si>
  <si>
    <t>mailto:gina.gibson@jpmorgancazenove.com</t>
  </si>
  <si>
    <t>Assumptions</t>
  </si>
  <si>
    <t>Circular switch</t>
  </si>
  <si>
    <t>On / off</t>
  </si>
  <si>
    <t>Key assumptions</t>
  </si>
  <si>
    <t>Last Historical FYE</t>
  </si>
  <si>
    <t>Transaction date</t>
  </si>
  <si>
    <t>Enterprise value calculation</t>
  </si>
  <si>
    <t>Current share price (c)</t>
  </si>
  <si>
    <t>p_price</t>
  </si>
  <si>
    <t>NOSH (m)</t>
  </si>
  <si>
    <t>Market cap ($m)</t>
  </si>
  <si>
    <t>Net debt / (cash) ($m)</t>
  </si>
  <si>
    <t>Minority interests ($m)</t>
  </si>
  <si>
    <t>Pension liability ($m)</t>
  </si>
  <si>
    <t>Investment in associates ($m)</t>
  </si>
  <si>
    <t>EV ($m)</t>
  </si>
  <si>
    <t>Income statement</t>
  </si>
  <si>
    <t>Actuals</t>
  </si>
  <si>
    <t>CMD case</t>
  </si>
  <si>
    <t>Extrapolations</t>
  </si>
  <si>
    <t>Total revenue</t>
  </si>
  <si>
    <t>Management case</t>
  </si>
  <si>
    <t>% forecast growth</t>
  </si>
  <si>
    <t>EBITDA</t>
  </si>
  <si>
    <t>% growth</t>
  </si>
  <si>
    <t>% forecast margin</t>
  </si>
  <si>
    <t>Depreciation and amortisation</t>
  </si>
  <si>
    <t>% capex</t>
  </si>
  <si>
    <t>% margin</t>
  </si>
  <si>
    <t>EBIT</t>
  </si>
  <si>
    <t>% tax rate</t>
  </si>
  <si>
    <t>x</t>
  </si>
  <si>
    <t>Net income</t>
  </si>
  <si>
    <t>Cashflow statement</t>
  </si>
  <si>
    <t>% sales</t>
  </si>
  <si>
    <t>% Cash conversion</t>
  </si>
  <si>
    <t>Change in Working Capital</t>
  </si>
  <si>
    <t>Other Cashflows</t>
  </si>
  <si>
    <t>Exceptional items</t>
  </si>
  <si>
    <t>Summary financials</t>
  </si>
  <si>
    <t>March Y/E</t>
  </si>
  <si>
    <t>D&amp;A</t>
  </si>
  <si>
    <t>% of revenue</t>
  </si>
  <si>
    <t>% of capex</t>
  </si>
  <si>
    <t>% revenue</t>
  </si>
  <si>
    <t>Change in NWC</t>
  </si>
  <si>
    <t>DCF</t>
  </si>
  <si>
    <t>Next financial YE</t>
  </si>
  <si>
    <t>Perpetuity growth rate</t>
  </si>
  <si>
    <t>TV exit EBITDA multiple</t>
  </si>
  <si>
    <t>WACC used for sensitivity analysis</t>
  </si>
  <si>
    <t>DCF FCF Calculation</t>
  </si>
  <si>
    <t>Stub period</t>
  </si>
  <si>
    <t>Stub factor</t>
  </si>
  <si>
    <t>Estimates</t>
  </si>
  <si>
    <t>EBIAT</t>
  </si>
  <si>
    <t>% D&amp;A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</si>
  <si>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</si>
  <si>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</si>
  <si>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</si>
  <si>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</si>
  <si>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</si>
  <si>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</si>
  <si>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</si>
  <si>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</si>
  <si>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</si>
  <si>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</si>
  <si>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</si>
  <si>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($m)</t>
  </si>
  <si>
    <t>(%)</t>
  </si>
  <si>
    <t>PV of FCF</t>
  </si>
  <si>
    <t>PV of Terminal Value</t>
  </si>
  <si>
    <t>Enterprise value</t>
  </si>
  <si>
    <t>Net debt &amp; adjustments</t>
  </si>
  <si>
    <t>Equity value</t>
  </si>
  <si>
    <t>Share price</t>
  </si>
  <si>
    <t>% premium to current</t>
  </si>
  <si>
    <t>Sensitivity analysis</t>
  </si>
  <si>
    <t>Spread rates and step-up</t>
  </si>
  <si>
    <t>Perptuity growth rate step-up</t>
  </si>
  <si>
    <t>EBITDA multiple</t>
  </si>
  <si>
    <t>EBITDA multiple step-up</t>
  </si>
  <si>
    <t>WACC</t>
  </si>
  <si>
    <t>WACC step-up</t>
  </si>
  <si>
    <t>Perpetuity growth rate analysis</t>
  </si>
  <si>
    <t>EBITDA multiple analysis</t>
  </si>
  <si>
    <t>Enterprise value ($m)</t>
  </si>
  <si>
    <t>WACC (%)</t>
  </si>
  <si>
    <t>Perpetuity growth rate (%)</t>
  </si>
  <si>
    <t>Exit EBITDA multiple (x)</t>
  </si>
  <si>
    <t>Offer price (p)</t>
  </si>
  <si>
    <t>Tax rate</t>
  </si>
  <si>
    <t>+D&amp;A</t>
  </si>
  <si>
    <t>+ Maintenance capex</t>
  </si>
  <si>
    <t>+Change in working capital</t>
  </si>
  <si>
    <t>+ Exceptional cash flows</t>
  </si>
  <si>
    <t>+ Other cash flows</t>
  </si>
  <si>
    <t>DCF output</t>
  </si>
  <si>
    <t>Summary financials and cashflow</t>
  </si>
  <si>
    <t>DCF Forecast Year</t>
  </si>
  <si>
    <t>TV</t>
  </si>
  <si>
    <t>Mar YE ($m)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</si>
  <si>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</si>
  <si>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</si>
  <si>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</si>
  <si>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</si>
  <si>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</si>
  <si>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</si>
  <si>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</si>
  <si>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</si>
  <si>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Sensitising firm value ($m) and implied offer price to WACC and TGR</t>
  </si>
  <si>
    <t>NPV</t>
  </si>
  <si>
    <t>Perpetuity Growth Rate (%)</t>
  </si>
  <si>
    <t>Present Value of Cashflows</t>
  </si>
  <si>
    <t>Implied Firm NPV</t>
  </si>
  <si>
    <t>Implied equity value</t>
  </si>
  <si>
    <t>Implied share price ($c)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</si>
</sst>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164" formatCode="#,##0.0_);\(#,##0.0\)"/>
    <numFmt numFmtId="165" formatCode="#,##0.0"/>
    <numFmt numFmtId="166" formatCode="0.0\x_);\(0.0&quot;x)&quot;;0.0\x_);@_)"/>
    <numFmt numFmtId="167" formatCode="#,##0_);\(#,##0\);@_)"/>
    <numFmt numFmtId="168" formatCode="0.0%"/>
    <numFmt numFmtId="169" formatCode="0.0%;\(0.0%\)"/>
    <numFmt numFmtId="170" formatCode="0.0%_);\(0.0%\);0.0%_);@_)"/>
    <numFmt numFmtId="171" formatCode="yyyy\A"/>
    <numFmt numFmtId="172" formatCode="yyyy\E"/>
    <numFmt numFmtId="173" formatCode="#,##0.0_);\(#,##0.0\);#,##0.0_);@_)"/>
    <numFmt numFmtId="174" formatCode="#,##0.0_);\(#,##0.0\);&quot;-  &quot;;@_)"/>
    <numFmt numFmtId="175" formatCode="#,##0.00_);\(#,##0.00\);#,##0.00_);@_)"/>
    <numFmt numFmtId="176" formatCode="0.00%_);\(0.00%\);0.00%_);@_)"/>
    <numFmt numFmtId="177" formatCode="#,###_);\(#,###\)"/>
    <numFmt numFmtId="178" formatCode="#,##0.0_);\(#,##0.0\);\-_);@_)"/>
    <numFmt numFmtId="179" formatCode="\$#,##0_);&quot;($&quot;#,##0\)"/>
    <numFmt numFmtId="180" formatCode="0.0_)"/>
    <numFmt numFmtId="181" formatCode="_(* #,##0.00000_);_(* \(#,##0.00000\);_(* \-??_);_(@_)"/>
    <numFmt numFmtId="182" formatCode="#.##000"/>
    <numFmt numFmtId="183" formatCode="\$#,#00"/>
    <numFmt numFmtId="184" formatCode="#,##0;\(#,##0\);\-"/>
    <numFmt numFmtId="185" formatCode="_(* #,##0.0_);_(* \(#,##0.0\);_(* \-??_);_(@_)"/>
    <numFmt numFmtId="186" formatCode="#,##0;\(#,##0\)"/>
    <numFmt numFmtId="187" formatCode="0.0"/>
    <numFmt numFmtId="188" formatCode="_(\€* #,##0_);_(\€* \(#,##0\);_(\€* \-_);_(@_)"/>
    <numFmt numFmtId="189" formatCode="#,##0.0;\(#,##0.0\)"/>
    <numFmt numFmtId="190" formatCode="#,##0.00\x;\(#,##0.00&quot;)x&quot;"/>
    <numFmt numFmtId="191" formatCode="0_);\(0\)"/>
    <numFmt numFmtId="192" formatCode="0.00%;\(0.00%\)"/>
    <numFmt numFmtId="193" formatCode=";;;"/>
    <numFmt numFmtId="194" formatCode="_(* #,##0_);_(* \(#,##0\);_(* \-_);_(@_)"/>
    <numFmt numFmtId="195" formatCode="mmmddyyyy"/>
    <numFmt numFmtId="196" formatCode="_(* #,##0.000_);_(* \(#,##0.000\);_(* \-??_);_(@_)"/>
    <numFmt numFmtId="197" formatCode="0.0000"/>
    <numFmt numFmtId="198" formatCode="#,##0.00_)\x;[Red]\(#,##0.00&quot;)x&quot;"/>
    <numFmt numFmtId="199" formatCode="\$_(#,##0.00_);&quot;$(&quot;#,##0.00\)"/>
    <numFmt numFmtId="200" formatCode="_(\€* #,##0.0000_);_(\€* \(#,##0.0000\);_(\€* \-??_);_(@_)"/>
    <numFmt numFmtId="201" formatCode="\€#,##0.00"/>
    <numFmt numFmtId="202" formatCode="m/d/yy"/>
    <numFmt numFmtId="203" formatCode="mmm\-d\-yy"/>
    <numFmt numFmtId="204" formatCode="_(\€* #,##0.00_);_(\€* \(#,##0.00\);_(\€* \-??_);_(@_)"/>
    <numFmt numFmtId="205" formatCode="\$_(#,##0.00_);&quot;$(&quot;#,##0.00\);\$_(0.00_);@_)"/>
    <numFmt numFmtId="206" formatCode="0.0%_);\(0.0%\);&quot; -- &quot;"/>
    <numFmt numFmtId="207" formatCode="0.000%;[Red]\(0.000%\)"/>
    <numFmt numFmtId="208" formatCode="#,##0.00_);\(#,##0.00\);0.00_);@_)"/>
    <numFmt numFmtId="209" formatCode="_(* #,##0.00_);_(* \(#,##0.00\);_(* \-??_);_(@_)"/>
    <numFmt numFmtId="210" formatCode="\£_(#,##0.00_);&quot;£(&quot;#,##0.00\)"/>
    <numFmt numFmtId="211" formatCode="_-* #,##0.00_-;\-* #,##0.00_-;_-* \-??_-;_-@_-"/>
    <numFmt numFmtId="212" formatCode="_(* #,##0_);_(* \(#,##0\)"/>
    <numFmt numFmtId="213" formatCode="\€_(#,##0.00_);&quot;€(&quot;#,##0.00\);\€_(0.00_);@_)"/>
    <numFmt numFmtId="214" formatCode="0.000%;;&quot;-- &quot;"/>
    <numFmt numFmtId="215" formatCode="0_)"/>
    <numFmt numFmtId="216" formatCode="#,##0.0_)\x;\(#,##0.0&quot;)x&quot;"/>
    <numFmt numFmtId="217" formatCode="#,##0_)\x;\(#,##0&quot;)x&quot;;0_)\x;@_)_x"/>
    <numFmt numFmtId="218" formatCode="#,##0.0000;\-#,##0.0000"/>
    <numFmt numFmtId="219" formatCode="&quot;  &quot;_•&quot;–    &quot;@"/>
    <numFmt numFmtId="220" formatCode="_(* #,##0.000_)&quot;  &quot;;_(* \(#,##0.000&quot;)  &quot;;_(* \-??_)&quot;  &quot;;_(@_)"/>
    <numFmt numFmtId="221" formatCode="#,##0.00;\(#,##0.00\);\-"/>
    <numFmt numFmtId="222" formatCode="###0\A"/>
    <numFmt numFmtId="223" formatCode="%#,#00"/>
    <numFmt numFmtId="224" formatCode="0.0\%_;\(0\.0&quot;)%&quot;"/>
    <numFmt numFmtId="225" formatCode="#,##0.0_)_x;\(#,##0.0\)_x"/>
    <numFmt numFmtId="226" formatCode="#,##0_)_x;\(#,##0\)_x;0_)_x;@_)_x"/>
    <numFmt numFmtId="227" formatCode="#,##0.00000;\-#,##0.00000"/>
    <numFmt numFmtId="228" formatCode="#,"/>
    <numFmt numFmtId="229" formatCode="#,##0.00\p;\(#,##0.00&quot;p)&quot;"/>
    <numFmt numFmtId="230" formatCode="0.0&quot;x    &quot;"/>
    <numFmt numFmtId="231" formatCode="#,##0\ _F;\(#,##0&quot;) &quot;_F;&quot;- &quot;_F"/>
    <numFmt numFmtId="232" formatCode="#,##0;\(###0\);\-"/>
    <numFmt numFmtId="233" formatCode="_-* #,##0.00\ [$€-1]_-;\-* #,##0.00\ [$€-1]_-;_-* \-??\ [$€-1]_-"/>
    <numFmt numFmtId="234" formatCode="0.0\%;\(0.0&quot;)%&quot;"/>
    <numFmt numFmtId="235" formatCode="#,##0;[Red]\-#,##0"/>
    <numFmt numFmtId="236" formatCode="\£#,##0.0;&quot;(£&quot;#,##0.0\);\£#,##0.0"/>
    <numFmt numFmtId="237" formatCode="0.0_)\%;\(0.0&quot;)%&quot;"/>
    <numFmt numFmtId="238" formatCode="_(* #,##0.0_)&quot;  &quot;;_(* \(#,##0.0&quot;)  &quot;;_(* \-??_)&quot;  &quot;;_(@_)"/>
    <numFmt numFmtId="239" formatCode="#,##0\ _F;\(#,##0&quot;) &quot;_F"/>
    <numFmt numFmtId="240" formatCode="0%_);\(0%\);&quot; -- &quot;"/>
    <numFmt numFmtId="241" formatCode="#,##0.0_)_%;\(#,##0.0\)_%"/>
    <numFmt numFmtId="242" formatCode="#,##0.00;\(#,##0.00\)"/>
    <numFmt numFmtId="243" formatCode="\F#,##0_);&quot;(F&quot;#,##0\)"/>
    <numFmt numFmtId="244" formatCode="#,##0_)"/>
    <numFmt numFmtId="245" formatCode="_(* #,##0_);_(* \(#,##0\);_(* \-??_);_(@_)"/>
    <numFmt numFmtId="246" formatCode="0.0_);\(0.0\)"/>
  </numFmts>
  <fonts count="84"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8"/>
      <name val="Times New Roman"/>
      <family val="1"/>
      <charset val="1"/>
    </font>
    <font>
      <sz val="12"/>
      <name val="Weiss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name val="Geneva"/>
      <family val="2"/>
      <charset val="1"/>
    </font>
    <font>
      <sz val="10"/>
      <name val="Times New Roman"/>
      <family val="1"/>
      <charset val="1"/>
    </font>
    <font>
      <sz val="10"/>
      <name val="GillSans"/>
      <family val="2"/>
      <charset val="1"/>
    </font>
    <font>
      <sz val="10"/>
      <color rgb="FF000000"/>
      <name val="MS Sans Serif"/>
      <family val="2"/>
      <charset val="1"/>
    </font>
    <font>
      <sz val="12"/>
      <name val="Times New Roman"/>
      <family val="1"/>
      <charset val="1"/>
    </font>
    <font>
      <sz val="12"/>
      <color rgb="FF0000FF"/>
      <name val="Times New Roman"/>
      <family val="1"/>
      <charset val="1"/>
    </font>
    <font>
      <sz val="10"/>
      <color rgb="FF0000FF"/>
      <name val="Trebuchet MS"/>
      <family val="2"/>
      <charset val="1"/>
    </font>
    <font>
      <sz val="10"/>
      <color rgb="FF800000"/>
      <name val="Arial"/>
      <family val="2"/>
      <charset val="1"/>
    </font>
    <font>
      <i/>
      <sz val="10"/>
      <color rgb="FF000080"/>
      <name val="Arial Narrow"/>
      <family val="2"/>
      <charset val="1"/>
    </font>
    <font>
      <sz val="12"/>
      <color rgb="FF00000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MS Sans Serif"/>
      <family val="2"/>
      <charset val="1"/>
    </font>
    <font>
      <b/>
      <sz val="11"/>
      <name val="Book Antiqua"/>
      <family val="1"/>
      <charset val="1"/>
    </font>
    <font>
      <sz val="10"/>
      <name val="Courier New"/>
      <family val="3"/>
      <charset val="1"/>
    </font>
    <font>
      <sz val="10"/>
      <color rgb="FF0000FF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5"/>
      <name val="Arial"/>
      <family val="2"/>
      <charset val="1"/>
    </font>
    <font>
      <sz val="11"/>
      <color rgb="FFFFFFFF"/>
      <name val="Calibri"/>
      <family val="2"/>
      <charset val="1"/>
    </font>
    <font>
      <sz val="12"/>
      <name val="Arial MT"/>
      <charset val="1"/>
    </font>
    <font>
      <sz val="12"/>
      <name val="???"/>
      <family val="1"/>
      <charset val="129"/>
    </font>
    <font>
      <b/>
      <sz val="9"/>
      <name val="Arial"/>
      <family val="2"/>
      <charset val="1"/>
    </font>
    <font>
      <sz val="10"/>
      <name val="Arial"/>
      <charset val="1"/>
    </font>
    <font>
      <sz val="10"/>
      <color rgb="FFFFFFFF"/>
      <name val="Arial"/>
      <family val="2"/>
      <charset val="1"/>
    </font>
    <font>
      <b/>
      <i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FFFF"/>
      <name val="Arial"/>
      <family val="2"/>
      <charset val="1"/>
    </font>
    <font>
      <sz val="9"/>
      <name val="Arial"/>
      <family val="2"/>
      <charset val="1"/>
    </font>
    <font>
      <sz val="12"/>
      <name val="Arial"/>
      <family val="2"/>
      <charset val="1"/>
    </font>
    <font>
      <sz val="10"/>
      <color rgb="FF000080"/>
      <name val="Arial"/>
      <family val="2"/>
      <charset val="1"/>
    </font>
    <font>
      <sz val="10"/>
      <name val="Arial"/>
      <charset val="204"/>
    </font>
    <font>
      <i/>
      <sz val="10"/>
      <name val="Arial"/>
      <family val="2"/>
      <charset val="1"/>
    </font>
    <font>
      <sz val="10"/>
      <color rgb="FFFFFFFF"/>
      <name val="False"/>
      <charset val="1"/>
    </font>
    <font>
      <sz val="10"/>
      <color rgb="FF0000FF"/>
      <name val="False"/>
      <charset val="1"/>
    </font>
    <font>
      <b/>
      <sz val="22"/>
      <color rgb="FF000080"/>
      <name val="Arial"/>
      <family val="2"/>
      <charset val="1"/>
    </font>
    <font>
      <b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/>
      <u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8.1999999999999993"/>
      <color theme="1"/>
      <name val="Arial"/>
      <family val="2"/>
      <charset val="1"/>
    </font>
    <font>
      <b/>
      <sz val="18"/>
      <color rgb="FFFFFFFF"/>
      <name val="Trebuchet MS"/>
      <family val="2"/>
      <charset val="1"/>
    </font>
    <font>
      <sz val="10"/>
      <color rgb="FF808080"/>
      <name val="Arial"/>
      <family val="2"/>
      <charset val="1"/>
    </font>
    <font>
      <b/>
      <sz val="14"/>
      <color theme="3" tint="-0.499984740745262"/>
      <name val="Trebuchet MS"/>
      <family val="2"/>
      <charset val="1"/>
    </font>
    <font>
      <b/>
      <sz val="16"/>
      <color theme="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B050"/>
      <name val="Arial"/>
      <family val="2"/>
      <charset val="1"/>
    </font>
    <font>
      <sz val="10"/>
      <color rgb="FF5BA5A3"/>
      <name val="Arial"/>
      <family val="2"/>
      <charset val="1"/>
    </font>
    <font>
      <b/>
      <i/>
      <sz val="10"/>
      <color theme="5"/>
      <name val="Arial"/>
      <family val="2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i/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i/>
      <sz val="10"/>
      <color rgb="FF0000FF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8"/>
      <color theme="0" tint="-0.499984740745262"/>
      <name val="Arial"/>
      <family val="2"/>
      <charset val="1"/>
    </font>
    <font>
      <i/>
      <sz val="8"/>
      <color theme="0" tint="-0.499984740745262"/>
      <name val="Arial"/>
      <family val="2"/>
      <charset val="1"/>
    </font>
    <font>
      <sz val="8"/>
      <color theme="0" tint="-0.499984740745262"/>
      <name val="Arial"/>
      <family val="2"/>
      <charset val="1"/>
    </font>
    <font>
      <i/>
      <sz val="10"/>
      <color theme="1"/>
      <name val="Arial"/>
      <family val="2"/>
      <charset val="1"/>
    </font>
    <font>
      <i/>
      <sz val="10"/>
      <color rgb="FF008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theme="7" tint="0.79989013336588644"/>
      <name val="Arial"/>
      <family val="2"/>
      <charset val="1"/>
    </font>
    <font>
      <b/>
      <sz val="10"/>
      <color theme="3"/>
      <name val="Arial"/>
      <family val="2"/>
      <charset val="1"/>
    </font>
    <font>
      <b/>
      <sz val="10"/>
      <color theme="5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i/>
      <sz val="10"/>
      <color rgb="FF808080"/>
      <name val="Arial"/>
      <family val="2"/>
      <charset val="1"/>
    </font>
    <font>
      <i/>
      <sz val="8"/>
      <color rgb="FF808080"/>
      <name val="Arial"/>
      <family val="2"/>
      <charset val="1"/>
    </font>
    <font>
      <i/>
      <sz val="8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theme="1"/>
      <name val="Arial"/>
      <family val="2"/>
      <charset val="1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CCCCFF"/>
        <bgColor rgb="FFC6D9F1"/>
      </patternFill>
    </fill>
    <fill>
      <patternFill patternType="solid">
        <fgColor theme="4" tint="0.79989013336588644"/>
        <bgColor rgb="FFDBEEF4"/>
      </patternFill>
    </fill>
    <fill>
      <patternFill patternType="solid">
        <fgColor rgb="FFFF99CC"/>
        <bgColor rgb="FFFD8484"/>
      </patternFill>
    </fill>
    <fill>
      <patternFill patternType="solid">
        <fgColor theme="5" tint="0.79989013336588644"/>
        <bgColor rgb="FFE6E0EC"/>
      </patternFill>
    </fill>
    <fill>
      <patternFill patternType="solid">
        <fgColor rgb="FFCCFFCC"/>
        <bgColor rgb="FFCBFFFF"/>
      </patternFill>
    </fill>
    <fill>
      <patternFill patternType="solid">
        <fgColor theme="6" tint="0.79989013336588644"/>
        <bgColor rgb="FFEAEAEA"/>
      </patternFill>
    </fill>
    <fill>
      <patternFill patternType="solid">
        <fgColor rgb="FFCC99FF"/>
        <bgColor rgb="FFC09DE3"/>
      </patternFill>
    </fill>
    <fill>
      <patternFill patternType="solid">
        <fgColor theme="7" tint="0.79989013336588644"/>
        <bgColor rgb="FFE4E0E9"/>
      </patternFill>
    </fill>
    <fill>
      <patternFill patternType="solid">
        <fgColor rgb="FFCBFFFF"/>
        <bgColor rgb="FFDBEEF4"/>
      </patternFill>
    </fill>
    <fill>
      <patternFill patternType="solid">
        <fgColor theme="8" tint="0.79989013336588644"/>
        <bgColor rgb="FFDCE6F2"/>
      </patternFill>
    </fill>
    <fill>
      <patternFill patternType="solid">
        <fgColor rgb="FFFFCC99"/>
        <bgColor rgb="FFFCD5B5"/>
      </patternFill>
    </fill>
    <fill>
      <patternFill patternType="solid">
        <fgColor theme="9" tint="0.79989013336588644"/>
        <bgColor rgb="FFEBF1DE"/>
      </patternFill>
    </fill>
    <fill>
      <patternFill patternType="solid">
        <fgColor rgb="FF99CCFF"/>
        <bgColor rgb="FFB9CDE5"/>
      </patternFill>
    </fill>
    <fill>
      <patternFill patternType="solid">
        <fgColor theme="4" tint="0.59987182226020086"/>
        <bgColor rgb="FFC6D9F1"/>
      </patternFill>
    </fill>
    <fill>
      <patternFill patternType="solid">
        <fgColor rgb="FFFD8484"/>
        <bgColor rgb="FFFF99CC"/>
      </patternFill>
    </fill>
    <fill>
      <patternFill patternType="solid">
        <fgColor theme="5" tint="0.59987182226020086"/>
        <bgColor rgb="FFCCC1DA"/>
      </patternFill>
    </fill>
    <fill>
      <patternFill patternType="solid">
        <fgColor rgb="FF00FF00"/>
        <bgColor rgb="FF33CCCC"/>
      </patternFill>
    </fill>
    <fill>
      <patternFill patternType="solid">
        <fgColor theme="6" tint="0.59987182226020086"/>
        <bgColor rgb="FFE4E0E9"/>
      </patternFill>
    </fill>
    <fill>
      <patternFill patternType="solid">
        <fgColor theme="7" tint="0.59987182226020086"/>
        <bgColor rgb="FFC0C0C0"/>
      </patternFill>
    </fill>
    <fill>
      <patternFill patternType="solid">
        <fgColor theme="8" tint="0.59987182226020086"/>
        <bgColor rgb="FFC6D9F1"/>
      </patternFill>
    </fill>
    <fill>
      <patternFill patternType="solid">
        <fgColor rgb="FFFFE54D"/>
        <bgColor rgb="FFFFCC99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045FB5"/>
        <bgColor rgb="FF115499"/>
      </patternFill>
    </fill>
    <fill>
      <patternFill patternType="solid">
        <fgColor rgb="FF800080"/>
        <bgColor rgb="FF890201"/>
      </patternFill>
    </fill>
    <fill>
      <patternFill patternType="solid">
        <fgColor rgb="FF33CCCC"/>
        <bgColor rgb="FF6D9BB5"/>
      </patternFill>
    </fill>
    <fill>
      <patternFill patternType="solid">
        <fgColor rgb="FFFF8500"/>
        <bgColor rgb="FFFD8484"/>
      </patternFill>
    </fill>
    <fill>
      <patternFill patternType="solid">
        <fgColor rgb="FF0000FF"/>
        <bgColor rgb="FF00017A"/>
      </patternFill>
    </fill>
    <fill>
      <patternFill patternType="solid">
        <fgColor rgb="FF808000"/>
        <bgColor rgb="FF808080"/>
      </patternFill>
    </fill>
    <fill>
      <patternFill patternType="solid">
        <fgColor rgb="FFFF0000"/>
        <bgColor rgb="FF890201"/>
      </patternFill>
    </fill>
    <fill>
      <patternFill patternType="solid">
        <fgColor rgb="FFFFFF00"/>
        <bgColor rgb="FFFFE54D"/>
      </patternFill>
    </fill>
    <fill>
      <patternFill patternType="solid">
        <fgColor rgb="FFFF00FF"/>
        <bgColor rgb="FF800080"/>
      </patternFill>
    </fill>
    <fill>
      <patternFill patternType="solid">
        <fgColor rgb="FF890201"/>
        <bgColor rgb="FF800080"/>
      </patternFill>
    </fill>
    <fill>
      <patternFill patternType="solid">
        <fgColor rgb="FF00857B"/>
        <bgColor rgb="FF045FB5"/>
      </patternFill>
    </fill>
    <fill>
      <patternFill patternType="solid">
        <fgColor rgb="FFFFFF99"/>
        <bgColor rgb="FFFFFFCC"/>
      </patternFill>
    </fill>
    <fill>
      <patternFill patternType="solid">
        <fgColor rgb="FF00017A"/>
        <bgColor rgb="FF0000FF"/>
      </patternFill>
    </fill>
    <fill>
      <patternFill patternType="solid">
        <fgColor rgb="FF008000"/>
        <bgColor rgb="FF00857B"/>
      </patternFill>
    </fill>
    <fill>
      <patternFill patternType="solid">
        <fgColor rgb="FF4781C8"/>
        <bgColor rgb="FF588CD3"/>
      </patternFill>
    </fill>
    <fill>
      <patternFill patternType="solid">
        <fgColor rgb="FF969696"/>
        <bgColor rgb="FF808080"/>
      </patternFill>
    </fill>
    <fill>
      <patternFill patternType="solid">
        <fgColor rgb="FF00FFFF"/>
        <bgColor rgb="FF33CCCC"/>
      </patternFill>
    </fill>
    <fill>
      <patternFill patternType="solid">
        <fgColor theme="3"/>
        <bgColor rgb="FF115499"/>
      </patternFill>
    </fill>
    <fill>
      <patternFill patternType="solid">
        <fgColor rgb="FF115499"/>
        <bgColor rgb="FF045FB5"/>
      </patternFill>
    </fill>
    <fill>
      <patternFill patternType="solid">
        <fgColor rgb="FF6D9BB5"/>
        <bgColor rgb="FF588CD3"/>
      </patternFill>
    </fill>
    <fill>
      <patternFill patternType="solid">
        <fgColor rgb="FF93B5C4"/>
        <bgColor rgb="FF8EB4E3"/>
      </patternFill>
    </fill>
    <fill>
      <patternFill patternType="solid">
        <fgColor rgb="FF93C196"/>
        <bgColor rgb="FF93B5C4"/>
      </patternFill>
    </fill>
    <fill>
      <patternFill patternType="solid">
        <fgColor theme="7" tint="0.39988402966399123"/>
        <bgColor rgb="FFCC99FF"/>
      </patternFill>
    </fill>
    <fill>
      <patternFill patternType="solid">
        <fgColor rgb="FFEAEAEA"/>
        <bgColor rgb="FFEBF1DE"/>
      </patternFill>
    </fill>
    <fill>
      <patternFill patternType="solid">
        <fgColor rgb="FF588CD3"/>
        <bgColor rgb="FF4781C8"/>
      </patternFill>
    </fill>
    <fill>
      <patternFill patternType="solid">
        <fgColor rgb="FFE4E0E9"/>
        <bgColor rgb="FFE6E0EC"/>
      </patternFill>
    </fill>
    <fill>
      <patternFill patternType="darkGray">
        <fgColor theme="4"/>
        <bgColor rgb="FF4781C8"/>
      </patternFill>
    </fill>
  </fills>
  <borders count="33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/>
      <top style="thin">
        <color rgb="FF00017A"/>
      </top>
      <bottom style="thin">
        <color rgb="FF00017A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C0C0C0"/>
      </bottom>
      <diagonal/>
    </border>
    <border>
      <left style="thin">
        <color rgb="FFFFFFFF"/>
      </left>
      <right style="thin">
        <color rgb="FF969696"/>
      </right>
      <top style="thin">
        <color rgb="FFFFFFFF"/>
      </top>
      <bottom style="thin">
        <color rgb="FF969696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/>
      <right style="thin">
        <color rgb="FF00017A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69696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 style="thin">
        <color auto="1"/>
      </right>
      <top/>
      <bottom style="thin">
        <color rgb="FF969696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auto="1"/>
      </bottom>
      <diagonal/>
    </border>
  </borders>
  <cellStyleXfs count="1537">
    <xf numFmtId="0" fontId="0" fillId="0" borderId="0"/>
    <xf numFmtId="0" fontId="1" fillId="0" borderId="0"/>
    <xf numFmtId="164" fontId="2" fillId="2" borderId="0"/>
    <xf numFmtId="177" fontId="3" fillId="0" borderId="0"/>
    <xf numFmtId="0" fontId="3" fillId="0" borderId="0"/>
    <xf numFmtId="0" fontId="4" fillId="0" borderId="0"/>
    <xf numFmtId="177" fontId="3" fillId="0" borderId="0"/>
    <xf numFmtId="0" fontId="3" fillId="0" borderId="0"/>
    <xf numFmtId="178" fontId="5" fillId="0" borderId="0"/>
    <xf numFmtId="178" fontId="5" fillId="0" borderId="0"/>
    <xf numFmtId="0" fontId="2" fillId="2" borderId="0"/>
    <xf numFmtId="179" fontId="6" fillId="0" borderId="0"/>
    <xf numFmtId="0" fontId="6" fillId="0" borderId="0"/>
    <xf numFmtId="0" fontId="1" fillId="0" borderId="0"/>
    <xf numFmtId="0" fontId="1" fillId="0" borderId="0"/>
    <xf numFmtId="180" fontId="1" fillId="0" borderId="0"/>
    <xf numFmtId="181" fontId="7" fillId="0" borderId="0"/>
    <xf numFmtId="0" fontId="8" fillId="0" borderId="0"/>
    <xf numFmtId="182" fontId="5" fillId="0" borderId="0"/>
    <xf numFmtId="0" fontId="9" fillId="0" borderId="0"/>
    <xf numFmtId="183" fontId="5" fillId="0" borderId="0"/>
    <xf numFmtId="10" fontId="6" fillId="0" borderId="0"/>
    <xf numFmtId="9" fontId="10" fillId="0" borderId="0"/>
    <xf numFmtId="168" fontId="10" fillId="0" borderId="0"/>
    <xf numFmtId="10" fontId="10" fillId="0" borderId="0"/>
    <xf numFmtId="10" fontId="11" fillId="0" borderId="0"/>
    <xf numFmtId="0" fontId="1" fillId="0" borderId="0"/>
    <xf numFmtId="0" fontId="1" fillId="0" borderId="0"/>
    <xf numFmtId="10" fontId="11" fillId="0" borderId="0"/>
    <xf numFmtId="9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0" fontId="11" fillId="0" borderId="0"/>
    <xf numFmtId="1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3" borderId="1"/>
    <xf numFmtId="0" fontId="9" fillId="0" borderId="0"/>
    <xf numFmtId="0" fontId="13" fillId="4" borderId="0"/>
    <xf numFmtId="184" fontId="14" fillId="0" borderId="2">
      <alignment horizontal="left" vertical="center"/>
    </xf>
    <xf numFmtId="184" fontId="14" fillId="0" borderId="2">
      <alignment horizontal="left" vertical="center"/>
    </xf>
    <xf numFmtId="184" fontId="14" fillId="0" borderId="2">
      <alignment horizontal="left" vertical="center"/>
    </xf>
    <xf numFmtId="185" fontId="15" fillId="0" borderId="0">
      <alignment horizontal="right"/>
    </xf>
    <xf numFmtId="186" fontId="10" fillId="0" borderId="3"/>
    <xf numFmtId="164" fontId="7" fillId="0" borderId="0"/>
    <xf numFmtId="0" fontId="16" fillId="0" borderId="0"/>
    <xf numFmtId="9" fontId="1" fillId="0" borderId="0"/>
    <xf numFmtId="0" fontId="10" fillId="0" borderId="0"/>
    <xf numFmtId="187" fontId="17" fillId="0" borderId="0"/>
    <xf numFmtId="188" fontId="5" fillId="0" borderId="0">
      <alignment horizontal="left"/>
      <protection locked="0"/>
    </xf>
    <xf numFmtId="168" fontId="17" fillId="0" borderId="0"/>
    <xf numFmtId="2" fontId="17" fillId="0" borderId="0"/>
    <xf numFmtId="10" fontId="17" fillId="0" borderId="0"/>
    <xf numFmtId="189" fontId="17" fillId="0" borderId="0"/>
    <xf numFmtId="0" fontId="18" fillId="0" borderId="3"/>
    <xf numFmtId="190" fontId="10" fillId="0" borderId="0">
      <alignment horizontal="center"/>
    </xf>
    <xf numFmtId="191" fontId="3" fillId="0" borderId="0"/>
    <xf numFmtId="1" fontId="2" fillId="0" borderId="0"/>
    <xf numFmtId="189" fontId="17" fillId="0" borderId="0"/>
    <xf numFmtId="186" fontId="10" fillId="0" borderId="0"/>
    <xf numFmtId="186" fontId="10" fillId="0" borderId="0"/>
    <xf numFmtId="185" fontId="5" fillId="0" borderId="0"/>
    <xf numFmtId="0" fontId="1" fillId="0" borderId="0"/>
    <xf numFmtId="3" fontId="1" fillId="0" borderId="0"/>
    <xf numFmtId="192" fontId="19" fillId="0" borderId="0"/>
    <xf numFmtId="164" fontId="5" fillId="0" borderId="0"/>
    <xf numFmtId="0" fontId="20" fillId="0" borderId="0"/>
    <xf numFmtId="164" fontId="5" fillId="0" borderId="0">
      <alignment horizontal="right"/>
    </xf>
    <xf numFmtId="2" fontId="1" fillId="0" borderId="0"/>
    <xf numFmtId="39" fontId="19" fillId="0" borderId="0"/>
    <xf numFmtId="0" fontId="21" fillId="5" borderId="0"/>
    <xf numFmtId="0" fontId="21" fillId="5" borderId="0"/>
    <xf numFmtId="0" fontId="22" fillId="6" borderId="0"/>
    <xf numFmtId="0" fontId="22" fillId="6" borderId="0"/>
    <xf numFmtId="0" fontId="22" fillId="6" borderId="0"/>
    <xf numFmtId="0" fontId="21" fillId="7" borderId="0"/>
    <xf numFmtId="0" fontId="21" fillId="7" borderId="0"/>
    <xf numFmtId="0" fontId="22" fillId="8" borderId="0"/>
    <xf numFmtId="0" fontId="22" fillId="8" borderId="0"/>
    <xf numFmtId="0" fontId="22" fillId="8" borderId="0"/>
    <xf numFmtId="0" fontId="21" fillId="9" borderId="0"/>
    <xf numFmtId="0" fontId="21" fillId="9" borderId="0"/>
    <xf numFmtId="0" fontId="22" fillId="10" borderId="0"/>
    <xf numFmtId="0" fontId="22" fillId="10" borderId="0"/>
    <xf numFmtId="0" fontId="22" fillId="10" borderId="0"/>
    <xf numFmtId="0" fontId="21" fillId="11" borderId="0"/>
    <xf numFmtId="0" fontId="21" fillId="11" borderId="0"/>
    <xf numFmtId="0" fontId="22" fillId="12" borderId="0"/>
    <xf numFmtId="0" fontId="22" fillId="12" borderId="0"/>
    <xf numFmtId="0" fontId="22" fillId="12" borderId="0"/>
    <xf numFmtId="0" fontId="21" fillId="13" borderId="0"/>
    <xf numFmtId="0" fontId="21" fillId="13" borderId="0"/>
    <xf numFmtId="0" fontId="22" fillId="14" borderId="0"/>
    <xf numFmtId="0" fontId="22" fillId="14" borderId="0"/>
    <xf numFmtId="0" fontId="22" fillId="14" borderId="0"/>
    <xf numFmtId="0" fontId="21" fillId="15" borderId="0"/>
    <xf numFmtId="0" fontId="21" fillId="15" borderId="0"/>
    <xf numFmtId="0" fontId="22" fillId="16" borderId="0"/>
    <xf numFmtId="0" fontId="22" fillId="16" borderId="0"/>
    <xf numFmtId="0" fontId="22" fillId="16" borderId="0"/>
    <xf numFmtId="0" fontId="23" fillId="0" borderId="0"/>
    <xf numFmtId="184" fontId="14" fillId="0" borderId="2">
      <alignment horizontal="left" vertical="center"/>
    </xf>
    <xf numFmtId="169" fontId="19" fillId="0" borderId="0"/>
    <xf numFmtId="184" fontId="14" fillId="0" borderId="2">
      <alignment horizontal="left" vertical="center"/>
    </xf>
    <xf numFmtId="184" fontId="14" fillId="0" borderId="2">
      <alignment horizontal="left" vertical="center"/>
    </xf>
    <xf numFmtId="0" fontId="21" fillId="17" borderId="0"/>
    <xf numFmtId="0" fontId="21" fillId="17" borderId="0"/>
    <xf numFmtId="0" fontId="22" fillId="18" borderId="0"/>
    <xf numFmtId="0" fontId="22" fillId="18" borderId="0"/>
    <xf numFmtId="0" fontId="22" fillId="18" borderId="0"/>
    <xf numFmtId="0" fontId="21" fillId="19" borderId="0"/>
    <xf numFmtId="0" fontId="21" fillId="19" borderId="0"/>
    <xf numFmtId="0" fontId="22" fillId="20" borderId="0"/>
    <xf numFmtId="0" fontId="22" fillId="20" borderId="0"/>
    <xf numFmtId="0" fontId="22" fillId="20" borderId="0"/>
    <xf numFmtId="0" fontId="21" fillId="21" borderId="0"/>
    <xf numFmtId="0" fontId="21" fillId="21" borderId="0"/>
    <xf numFmtId="0" fontId="22" fillId="22" borderId="0"/>
    <xf numFmtId="0" fontId="22" fillId="22" borderId="0"/>
    <xf numFmtId="0" fontId="22" fillId="22" borderId="0"/>
    <xf numFmtId="0" fontId="21" fillId="11" borderId="0"/>
    <xf numFmtId="0" fontId="21" fillId="11" borderId="0"/>
    <xf numFmtId="0" fontId="22" fillId="23" borderId="0"/>
    <xf numFmtId="0" fontId="22" fillId="23" borderId="0"/>
    <xf numFmtId="0" fontId="22" fillId="23" borderId="0"/>
    <xf numFmtId="0" fontId="21" fillId="17" borderId="0"/>
    <xf numFmtId="0" fontId="21" fillId="17" borderId="0"/>
    <xf numFmtId="0" fontId="22" fillId="24" borderId="0"/>
    <xf numFmtId="0" fontId="22" fillId="24" borderId="0"/>
    <xf numFmtId="0" fontId="22" fillId="24" borderId="0"/>
    <xf numFmtId="0" fontId="21" fillId="25" borderId="0"/>
    <xf numFmtId="0" fontId="21" fillId="25" borderId="0"/>
    <xf numFmtId="0" fontId="22" fillId="26" borderId="0"/>
    <xf numFmtId="0" fontId="22" fillId="26" borderId="0"/>
    <xf numFmtId="0" fontId="22" fillId="26" borderId="0"/>
    <xf numFmtId="0" fontId="83" fillId="0" borderId="0"/>
    <xf numFmtId="0" fontId="83" fillId="0" borderId="0"/>
    <xf numFmtId="0" fontId="24" fillId="27" borderId="0"/>
    <xf numFmtId="0" fontId="24" fillId="27" borderId="0"/>
    <xf numFmtId="0" fontId="24" fillId="19" borderId="0"/>
    <xf numFmtId="0" fontId="24" fillId="19" borderId="0"/>
    <xf numFmtId="0" fontId="24" fillId="21" borderId="0"/>
    <xf numFmtId="0" fontId="24" fillId="21" borderId="0"/>
    <xf numFmtId="0" fontId="24" fillId="28" borderId="0"/>
    <xf numFmtId="0" fontId="24" fillId="28" borderId="0"/>
    <xf numFmtId="0" fontId="24" fillId="29" borderId="0"/>
    <xf numFmtId="0" fontId="24" fillId="29" borderId="0"/>
    <xf numFmtId="0" fontId="24" fillId="30" borderId="0"/>
    <xf numFmtId="0" fontId="24" fillId="30" borderId="0"/>
    <xf numFmtId="37" fontId="25" fillId="0" borderId="0">
      <alignment horizontal="center"/>
    </xf>
    <xf numFmtId="193" fontId="7" fillId="0" borderId="0"/>
    <xf numFmtId="0" fontId="1" fillId="0" borderId="0"/>
    <xf numFmtId="194" fontId="1" fillId="0" borderId="0"/>
    <xf numFmtId="195" fontId="1" fillId="0" borderId="0"/>
    <xf numFmtId="0" fontId="26" fillId="0" borderId="0"/>
    <xf numFmtId="0" fontId="27" fillId="0" borderId="0">
      <alignment horizontal="center" vertical="center"/>
    </xf>
    <xf numFmtId="0" fontId="2" fillId="0" borderId="0"/>
    <xf numFmtId="0" fontId="7" fillId="0" borderId="0"/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27" fillId="0" borderId="0">
      <alignment horizontal="center" vertical="center"/>
    </xf>
    <xf numFmtId="0" fontId="7" fillId="0" borderId="0"/>
    <xf numFmtId="196" fontId="5" fillId="0" borderId="0"/>
    <xf numFmtId="168" fontId="5" fillId="0" borderId="0"/>
    <xf numFmtId="197" fontId="5" fillId="0" borderId="0"/>
    <xf numFmtId="198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4" borderId="0">
      <alignment horizontal="left" wrapText="1"/>
    </xf>
    <xf numFmtId="0" fontId="29" fillId="31" borderId="0">
      <alignment horizontal="left"/>
    </xf>
    <xf numFmtId="0" fontId="1" fillId="4" borderId="0"/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29" fillId="31" borderId="0">
      <alignment horizontal="left"/>
    </xf>
    <xf numFmtId="3" fontId="5" fillId="15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29" fillId="31" borderId="0">
      <alignment horizontal="left"/>
    </xf>
    <xf numFmtId="0" fontId="29" fillId="31" borderId="0">
      <alignment horizontal="left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/>
    <xf numFmtId="0" fontId="5" fillId="15" borderId="0"/>
    <xf numFmtId="0" fontId="5" fillId="15" borderId="0"/>
    <xf numFmtId="0" fontId="5" fillId="15" borderId="0"/>
    <xf numFmtId="49" fontId="29" fillId="32" borderId="0">
      <alignment horizontal="left"/>
    </xf>
    <xf numFmtId="0" fontId="5" fillId="15" borderId="0"/>
    <xf numFmtId="0" fontId="5" fillId="15" borderId="0"/>
    <xf numFmtId="49" fontId="29" fillId="32" borderId="0">
      <alignment horizontal="left"/>
    </xf>
    <xf numFmtId="49" fontId="29" fillId="32" borderId="0">
      <alignment horizontal="left"/>
    </xf>
    <xf numFmtId="0" fontId="5" fillId="15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/>
    <xf numFmtId="0" fontId="5" fillId="15" borderId="0"/>
    <xf numFmtId="0" fontId="5" fillId="15" borderId="0"/>
    <xf numFmtId="0" fontId="5" fillId="15" borderId="0"/>
    <xf numFmtId="0" fontId="29" fillId="33" borderId="0">
      <alignment horizontal="left"/>
    </xf>
    <xf numFmtId="0" fontId="5" fillId="15" borderId="0"/>
    <xf numFmtId="0" fontId="5" fillId="15" borderId="0"/>
    <xf numFmtId="0" fontId="29" fillId="33" borderId="0">
      <alignment horizontal="left"/>
    </xf>
    <xf numFmtId="0" fontId="29" fillId="33" borderId="0">
      <alignment horizontal="left"/>
    </xf>
    <xf numFmtId="0" fontId="5" fillId="15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/>
    <xf numFmtId="0" fontId="5" fillId="15" borderId="0"/>
    <xf numFmtId="0" fontId="30" fillId="4" borderId="0"/>
    <xf numFmtId="49" fontId="29" fillId="21" borderId="0">
      <alignment horizontal="left"/>
    </xf>
    <xf numFmtId="0" fontId="5" fillId="15" borderId="0"/>
    <xf numFmtId="0" fontId="30" fillId="4" borderId="0"/>
    <xf numFmtId="0" fontId="5" fillId="15" borderId="0"/>
    <xf numFmtId="0" fontId="30" fillId="4" borderId="0"/>
    <xf numFmtId="0" fontId="30" fillId="4" borderId="0"/>
    <xf numFmtId="0" fontId="30" fillId="4" borderId="0"/>
    <xf numFmtId="0" fontId="30" fillId="4" borderId="0"/>
    <xf numFmtId="49" fontId="29" fillId="21" borderId="0">
      <alignment horizontal="left"/>
    </xf>
    <xf numFmtId="0" fontId="5" fillId="15" borderId="0"/>
    <xf numFmtId="0" fontId="30" fillId="4" borderId="0"/>
    <xf numFmtId="0" fontId="30" fillId="4" borderId="0"/>
    <xf numFmtId="0" fontId="5" fillId="15" borderId="0"/>
    <xf numFmtId="49" fontId="29" fillId="34" borderId="0">
      <alignment horizontal="left"/>
    </xf>
    <xf numFmtId="49" fontId="29" fillId="21" borderId="0">
      <alignment horizontal="left"/>
    </xf>
    <xf numFmtId="49" fontId="29" fillId="21" borderId="0">
      <alignment horizontal="left"/>
    </xf>
    <xf numFmtId="0" fontId="5" fillId="15" borderId="0"/>
    <xf numFmtId="0" fontId="5" fillId="4" borderId="0">
      <alignment horizontal="left" wrapText="1"/>
    </xf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5" fillId="4" borderId="0">
      <alignment horizontal="left" wrapText="1"/>
    </xf>
    <xf numFmtId="0" fontId="30" fillId="4" borderId="0"/>
    <xf numFmtId="0" fontId="5" fillId="4" borderId="0">
      <alignment horizontal="left" wrapText="1"/>
    </xf>
    <xf numFmtId="0" fontId="5" fillId="15" borderId="0"/>
    <xf numFmtId="0" fontId="5" fillId="15" borderId="0"/>
    <xf numFmtId="0" fontId="5" fillId="15" borderId="0"/>
    <xf numFmtId="0" fontId="5" fillId="15" borderId="0"/>
    <xf numFmtId="0" fontId="29" fillId="34" borderId="0">
      <alignment horizontal="left"/>
    </xf>
    <xf numFmtId="0" fontId="5" fillId="15" borderId="0"/>
    <xf numFmtId="0" fontId="5" fillId="15" borderId="0"/>
    <xf numFmtId="0" fontId="29" fillId="35" borderId="0">
      <alignment horizontal="left"/>
    </xf>
    <xf numFmtId="0" fontId="29" fillId="34" borderId="0">
      <alignment horizontal="left"/>
    </xf>
    <xf numFmtId="0" fontId="29" fillId="34" borderId="0">
      <alignment horizontal="left"/>
    </xf>
    <xf numFmtId="0" fontId="5" fillId="15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/>
    <xf numFmtId="0" fontId="5" fillId="15" borderId="0"/>
    <xf numFmtId="0" fontId="5" fillId="15" borderId="0"/>
    <xf numFmtId="0" fontId="5" fillId="15" borderId="0"/>
    <xf numFmtId="0" fontId="31" fillId="35" borderId="0">
      <alignment horizontal="left"/>
    </xf>
    <xf numFmtId="0" fontId="5" fillId="15" borderId="0"/>
    <xf numFmtId="0" fontId="5" fillId="15" borderId="0"/>
    <xf numFmtId="0" fontId="31" fillId="35" borderId="0">
      <alignment horizontal="left"/>
    </xf>
    <xf numFmtId="0" fontId="31" fillId="35" borderId="0">
      <alignment horizontal="left"/>
    </xf>
    <xf numFmtId="0" fontId="5" fillId="15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/>
    <xf numFmtId="0" fontId="5" fillId="15" borderId="0"/>
    <xf numFmtId="0" fontId="5" fillId="4" borderId="0"/>
    <xf numFmtId="0" fontId="5" fillId="4" borderId="0"/>
    <xf numFmtId="0" fontId="5" fillId="4" borderId="0"/>
    <xf numFmtId="0" fontId="5" fillId="4" borderId="0"/>
    <xf numFmtId="0" fontId="32" fillId="28" borderId="0">
      <alignment horizontal="left"/>
    </xf>
    <xf numFmtId="0" fontId="5" fillId="15" borderId="0"/>
    <xf numFmtId="0" fontId="5" fillId="15" borderId="0"/>
    <xf numFmtId="0" fontId="32" fillId="28" borderId="0">
      <alignment horizontal="left"/>
    </xf>
    <xf numFmtId="0" fontId="5" fillId="15" borderId="0"/>
    <xf numFmtId="0" fontId="5" fillId="15" borderId="0"/>
    <xf numFmtId="0" fontId="32" fillId="28" borderId="0">
      <alignment horizontal="left"/>
    </xf>
    <xf numFmtId="0" fontId="32" fillId="28" borderId="0">
      <alignment horizontal="left"/>
    </xf>
    <xf numFmtId="0" fontId="5" fillId="15" borderId="0"/>
    <xf numFmtId="0" fontId="5" fillId="4" borderId="0">
      <alignment horizontal="left" wrapText="1"/>
    </xf>
    <xf numFmtId="0" fontId="5" fillId="4" borderId="0"/>
    <xf numFmtId="0" fontId="5" fillId="4" borderId="0">
      <alignment horizontal="left" wrapText="1"/>
    </xf>
    <xf numFmtId="0" fontId="5" fillId="4" borderId="0"/>
    <xf numFmtId="0" fontId="5" fillId="4" borderId="0"/>
    <xf numFmtId="0" fontId="31" fillId="36" borderId="0">
      <alignment horizontal="left"/>
    </xf>
    <xf numFmtId="0" fontId="31" fillId="2" borderId="0">
      <alignment horizontal="left"/>
    </xf>
    <xf numFmtId="0" fontId="31" fillId="36" borderId="0">
      <alignment horizontal="left"/>
    </xf>
    <xf numFmtId="0" fontId="31" fillId="2" borderId="0">
      <alignment horizontal="left"/>
    </xf>
    <xf numFmtId="164" fontId="1" fillId="0" borderId="0"/>
    <xf numFmtId="174" fontId="83" fillId="0" borderId="0"/>
    <xf numFmtId="164" fontId="1" fillId="0" borderId="0"/>
    <xf numFmtId="173" fontId="1" fillId="0" borderId="0"/>
    <xf numFmtId="164" fontId="1" fillId="0" borderId="0"/>
    <xf numFmtId="173" fontId="1" fillId="0" borderId="0"/>
    <xf numFmtId="173" fontId="1" fillId="0" borderId="0"/>
    <xf numFmtId="173" fontId="33" fillId="0" borderId="0"/>
    <xf numFmtId="173" fontId="1" fillId="0" borderId="0"/>
    <xf numFmtId="173" fontId="1" fillId="0" borderId="0"/>
    <xf numFmtId="0" fontId="9" fillId="0" borderId="0"/>
    <xf numFmtId="199" fontId="1" fillId="0" borderId="0"/>
    <xf numFmtId="0" fontId="83" fillId="0" borderId="0"/>
    <xf numFmtId="200" fontId="5" fillId="0" borderId="0"/>
    <xf numFmtId="201" fontId="5" fillId="0" borderId="0"/>
    <xf numFmtId="202" fontId="7" fillId="0" borderId="0"/>
    <xf numFmtId="203" fontId="5" fillId="0" borderId="0"/>
    <xf numFmtId="204" fontId="5" fillId="0" borderId="0"/>
    <xf numFmtId="205" fontId="33" fillId="0" borderId="0"/>
    <xf numFmtId="205" fontId="1" fillId="0" borderId="0"/>
    <xf numFmtId="205" fontId="1" fillId="0" borderId="0"/>
    <xf numFmtId="0" fontId="1" fillId="0" borderId="0"/>
    <xf numFmtId="0" fontId="34" fillId="0" borderId="0"/>
    <xf numFmtId="0" fontId="1" fillId="0" borderId="0"/>
    <xf numFmtId="189" fontId="1" fillId="0" borderId="0"/>
    <xf numFmtId="206" fontId="7" fillId="0" borderId="0"/>
    <xf numFmtId="37" fontId="7" fillId="0" borderId="0"/>
    <xf numFmtId="206" fontId="7" fillId="0" borderId="0"/>
    <xf numFmtId="37" fontId="7" fillId="0" borderId="0"/>
    <xf numFmtId="199" fontId="1" fillId="0" borderId="0"/>
    <xf numFmtId="187" fontId="1" fillId="0" borderId="0"/>
    <xf numFmtId="39" fontId="1" fillId="0" borderId="0"/>
    <xf numFmtId="39" fontId="1" fillId="0" borderId="0"/>
    <xf numFmtId="185" fontId="5" fillId="0" borderId="0"/>
    <xf numFmtId="39" fontId="1" fillId="0" borderId="0"/>
    <xf numFmtId="207" fontId="5" fillId="0" borderId="0"/>
    <xf numFmtId="185" fontId="5" fillId="0" borderId="0"/>
    <xf numFmtId="208" fontId="33" fillId="0" borderId="0"/>
    <xf numFmtId="208" fontId="1" fillId="0" borderId="0"/>
    <xf numFmtId="208" fontId="1" fillId="0" borderId="0"/>
    <xf numFmtId="39" fontId="1" fillId="0" borderId="0"/>
    <xf numFmtId="39" fontId="1" fillId="0" borderId="0"/>
    <xf numFmtId="39" fontId="1" fillId="0" borderId="0"/>
    <xf numFmtId="39" fontId="1" fillId="0" borderId="0"/>
    <xf numFmtId="208" fontId="1" fillId="0" borderId="0"/>
    <xf numFmtId="39" fontId="1" fillId="0" borderId="0"/>
    <xf numFmtId="208" fontId="1" fillId="0" borderId="0"/>
    <xf numFmtId="3" fontId="5" fillId="3" borderId="4">
      <alignment horizontal="right"/>
    </xf>
    <xf numFmtId="4" fontId="1" fillId="3" borderId="0"/>
    <xf numFmtId="4" fontId="35" fillId="37" borderId="5"/>
    <xf numFmtId="209" fontId="5" fillId="3" borderId="4"/>
    <xf numFmtId="3" fontId="5" fillId="3" borderId="4">
      <alignment horizontal="right"/>
    </xf>
    <xf numFmtId="3" fontId="5" fillId="3" borderId="4">
      <alignment horizontal="right"/>
    </xf>
    <xf numFmtId="4" fontId="35" fillId="37" borderId="5"/>
    <xf numFmtId="3" fontId="5" fillId="38" borderId="4"/>
    <xf numFmtId="3" fontId="5" fillId="3" borderId="4">
      <alignment horizontal="right"/>
    </xf>
    <xf numFmtId="3" fontId="5" fillId="3" borderId="4">
      <alignment horizontal="right"/>
    </xf>
    <xf numFmtId="209" fontId="5" fillId="3" borderId="4"/>
    <xf numFmtId="3" fontId="5" fillId="3" borderId="4">
      <alignment horizontal="right"/>
    </xf>
    <xf numFmtId="3" fontId="5" fillId="3" borderId="4">
      <alignment horizontal="right"/>
    </xf>
    <xf numFmtId="3" fontId="5" fillId="3" borderId="4">
      <alignment horizontal="right"/>
    </xf>
    <xf numFmtId="4" fontId="35" fillId="37" borderId="5"/>
    <xf numFmtId="4" fontId="35" fillId="37" borderId="5"/>
    <xf numFmtId="209" fontId="5" fillId="3" borderId="4"/>
    <xf numFmtId="209" fontId="5" fillId="3" borderId="4"/>
    <xf numFmtId="209" fontId="5" fillId="3" borderId="4"/>
    <xf numFmtId="209" fontId="5" fillId="3" borderId="4"/>
    <xf numFmtId="3" fontId="5" fillId="3" borderId="4">
      <alignment horizontal="right"/>
    </xf>
    <xf numFmtId="3" fontId="5" fillId="3" borderId="4">
      <alignment horizontal="right"/>
    </xf>
    <xf numFmtId="3" fontId="5" fillId="3" borderId="4">
      <alignment horizontal="right"/>
    </xf>
    <xf numFmtId="209" fontId="5" fillId="3" borderId="4"/>
    <xf numFmtId="209" fontId="5" fillId="3" borderId="4"/>
    <xf numFmtId="3" fontId="5" fillId="3" borderId="4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1" fontId="1" fillId="0" borderId="0"/>
    <xf numFmtId="210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0" fontId="1" fillId="0" borderId="0"/>
    <xf numFmtId="21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214" fontId="5" fillId="0" borderId="0"/>
    <xf numFmtId="21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center"/>
    </xf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3" borderId="0">
      <alignment horizontal="left"/>
    </xf>
    <xf numFmtId="0" fontId="38" fillId="39" borderId="0"/>
    <xf numFmtId="0" fontId="39" fillId="40" borderId="0"/>
    <xf numFmtId="0" fontId="37" fillId="3" borderId="0"/>
    <xf numFmtId="0" fontId="37" fillId="3" borderId="0">
      <alignment horizontal="left"/>
    </xf>
    <xf numFmtId="0" fontId="37" fillId="3" borderId="0">
      <alignment horizontal="left"/>
    </xf>
    <xf numFmtId="0" fontId="39" fillId="40" borderId="0"/>
    <xf numFmtId="0" fontId="1" fillId="3" borderId="0">
      <alignment wrapText="1"/>
    </xf>
    <xf numFmtId="0" fontId="37" fillId="3" borderId="0">
      <alignment horizontal="left"/>
    </xf>
    <xf numFmtId="0" fontId="37" fillId="3" borderId="0"/>
    <xf numFmtId="0" fontId="37" fillId="3" borderId="0">
      <alignment horizontal="left"/>
    </xf>
    <xf numFmtId="0" fontId="37" fillId="3" borderId="0">
      <alignment horizontal="left"/>
    </xf>
    <xf numFmtId="0" fontId="38" fillId="39" borderId="0"/>
    <xf numFmtId="0" fontId="37" fillId="3" borderId="0">
      <alignment horizontal="left"/>
    </xf>
    <xf numFmtId="0" fontId="39" fillId="40" borderId="0"/>
    <xf numFmtId="0" fontId="39" fillId="40" borderId="0"/>
    <xf numFmtId="0" fontId="37" fillId="3" borderId="0"/>
    <xf numFmtId="0" fontId="37" fillId="3" borderId="0"/>
    <xf numFmtId="0" fontId="37" fillId="3" borderId="0"/>
    <xf numFmtId="0" fontId="37" fillId="3" borderId="0"/>
    <xf numFmtId="0" fontId="37" fillId="3" borderId="0">
      <alignment horizontal="left"/>
    </xf>
    <xf numFmtId="0" fontId="37" fillId="3" borderId="0">
      <alignment horizontal="left"/>
    </xf>
    <xf numFmtId="0" fontId="37" fillId="3" borderId="0">
      <alignment horizontal="left"/>
    </xf>
    <xf numFmtId="0" fontId="37" fillId="3" borderId="0"/>
    <xf numFmtId="0" fontId="37" fillId="3" borderId="0"/>
    <xf numFmtId="0" fontId="37" fillId="3" borderId="0">
      <alignment horizontal="left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15" fontId="40" fillId="0" borderId="0"/>
    <xf numFmtId="215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15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38" borderId="0"/>
    <xf numFmtId="0" fontId="1" fillId="0" borderId="0"/>
    <xf numFmtId="0" fontId="9" fillId="0" borderId="0"/>
    <xf numFmtId="38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6" fontId="1" fillId="0" borderId="0"/>
    <xf numFmtId="0" fontId="83" fillId="0" borderId="0"/>
    <xf numFmtId="216" fontId="1" fillId="0" borderId="0"/>
    <xf numFmtId="217" fontId="1" fillId="0" borderId="0"/>
    <xf numFmtId="218" fontId="7" fillId="0" borderId="0"/>
    <xf numFmtId="217" fontId="1" fillId="0" borderId="0"/>
    <xf numFmtId="217" fontId="1" fillId="0" borderId="0"/>
    <xf numFmtId="217" fontId="33" fillId="0" borderId="0"/>
    <xf numFmtId="217" fontId="1" fillId="0" borderId="0"/>
    <xf numFmtId="217" fontId="1" fillId="0" borderId="0"/>
    <xf numFmtId="0" fontId="1" fillId="0" borderId="0"/>
    <xf numFmtId="219" fontId="34" fillId="0" borderId="0"/>
    <xf numFmtId="220" fontId="7" fillId="0" borderId="0"/>
    <xf numFmtId="221" fontId="7" fillId="0" borderId="0"/>
    <xf numFmtId="222" fontId="7" fillId="0" borderId="0"/>
    <xf numFmtId="222" fontId="7" fillId="0" borderId="0"/>
    <xf numFmtId="216" fontId="1" fillId="0" borderId="0"/>
    <xf numFmtId="223" fontId="5" fillId="0" borderId="0"/>
    <xf numFmtId="224" fontId="1" fillId="0" borderId="0"/>
    <xf numFmtId="224" fontId="1" fillId="0" borderId="0"/>
    <xf numFmtId="225" fontId="1" fillId="0" borderId="0"/>
    <xf numFmtId="225" fontId="1" fillId="0" borderId="0"/>
    <xf numFmtId="226" fontId="1" fillId="0" borderId="0">
      <alignment horizontal="right"/>
    </xf>
    <xf numFmtId="227" fontId="7" fillId="0" borderId="0"/>
    <xf numFmtId="226" fontId="1" fillId="0" borderId="0">
      <alignment horizontal="right"/>
    </xf>
    <xf numFmtId="228" fontId="5" fillId="0" borderId="0"/>
    <xf numFmtId="229" fontId="7" fillId="0" borderId="0"/>
    <xf numFmtId="229" fontId="7" fillId="0" borderId="0"/>
    <xf numFmtId="226" fontId="1" fillId="0" borderId="0">
      <alignment horizontal="right"/>
    </xf>
    <xf numFmtId="0" fontId="7" fillId="0" borderId="0"/>
    <xf numFmtId="0" fontId="1" fillId="0" borderId="0"/>
    <xf numFmtId="226" fontId="33" fillId="0" borderId="0">
      <alignment horizontal="right"/>
    </xf>
    <xf numFmtId="226" fontId="1" fillId="0" borderId="0">
      <alignment horizontal="right"/>
    </xf>
    <xf numFmtId="226" fontId="1" fillId="0" borderId="0">
      <alignment horizontal="right"/>
    </xf>
    <xf numFmtId="0" fontId="1" fillId="0" borderId="0"/>
    <xf numFmtId="189" fontId="34" fillId="0" borderId="0"/>
    <xf numFmtId="230" fontId="7" fillId="0" borderId="0"/>
    <xf numFmtId="231" fontId="7" fillId="0" borderId="0"/>
    <xf numFmtId="232" fontId="7" fillId="0" borderId="0"/>
    <xf numFmtId="232" fontId="7" fillId="0" borderId="0"/>
    <xf numFmtId="225" fontId="1" fillId="0" borderId="0"/>
    <xf numFmtId="233" fontId="5" fillId="0" borderId="0"/>
    <xf numFmtId="234" fontId="1" fillId="0" borderId="0"/>
    <xf numFmtId="235" fontId="5" fillId="0" borderId="0"/>
    <xf numFmtId="236" fontId="7" fillId="0" borderId="0"/>
    <xf numFmtId="236" fontId="7" fillId="0" borderId="0"/>
    <xf numFmtId="234" fontId="1" fillId="0" borderId="0"/>
    <xf numFmtId="0" fontId="31" fillId="1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7" fontId="1" fillId="0" borderId="0"/>
    <xf numFmtId="0" fontId="1" fillId="0" borderId="0"/>
    <xf numFmtId="238" fontId="7" fillId="0" borderId="0"/>
    <xf numFmtId="239" fontId="7" fillId="0" borderId="0"/>
    <xf numFmtId="189" fontId="1" fillId="0" borderId="0"/>
    <xf numFmtId="240" fontId="7" fillId="0" borderId="0"/>
    <xf numFmtId="240" fontId="7" fillId="0" borderId="0"/>
    <xf numFmtId="237" fontId="1" fillId="0" borderId="0"/>
    <xf numFmtId="241" fontId="1" fillId="0" borderId="0"/>
    <xf numFmtId="179" fontId="7" fillId="0" borderId="0"/>
    <xf numFmtId="0" fontId="1" fillId="0" borderId="0"/>
    <xf numFmtId="242" fontId="34" fillId="0" borderId="0"/>
    <xf numFmtId="243" fontId="7" fillId="0" borderId="0"/>
    <xf numFmtId="37" fontId="7" fillId="0" borderId="0"/>
    <xf numFmtId="244" fontId="7" fillId="0" borderId="0"/>
    <xf numFmtId="245" fontId="7" fillId="0" borderId="0"/>
    <xf numFmtId="245" fontId="7" fillId="0" borderId="0"/>
    <xf numFmtId="241" fontId="1" fillId="0" borderId="0"/>
    <xf numFmtId="184" fontId="5" fillId="0" borderId="0"/>
    <xf numFmtId="246" fontId="1" fillId="0" borderId="0"/>
    <xf numFmtId="178" fontId="5" fillId="0" borderId="0"/>
    <xf numFmtId="177" fontId="7" fillId="0" borderId="0"/>
    <xf numFmtId="177" fontId="7" fillId="0" borderId="0"/>
    <xf numFmtId="24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4" borderId="0">
      <alignment horizontal="left" wrapText="1"/>
    </xf>
    <xf numFmtId="0" fontId="1" fillId="41" borderId="0"/>
    <xf numFmtId="0" fontId="1" fillId="4" borderId="0"/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29" fillId="31" borderId="0"/>
    <xf numFmtId="3" fontId="5" fillId="15" borderId="0">
      <alignment horizontal="left" vertical="center"/>
    </xf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29" fillId="39" borderId="0"/>
    <xf numFmtId="0" fontId="5" fillId="4" borderId="0">
      <alignment horizontal="left" wrapText="1"/>
    </xf>
    <xf numFmtId="0" fontId="29" fillId="31" borderId="0"/>
    <xf numFmtId="0" fontId="29" fillId="31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1" fillId="4" borderId="0"/>
    <xf numFmtId="0" fontId="1" fillId="4" borderId="0"/>
    <xf numFmtId="0" fontId="1" fillId="4" borderId="0"/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>
      <alignment horizontal="left"/>
    </xf>
    <xf numFmtId="0" fontId="5" fillId="15" borderId="0">
      <alignment horizontal="left"/>
    </xf>
    <xf numFmtId="0" fontId="29" fillId="42" borderId="0"/>
    <xf numFmtId="0" fontId="29" fillId="32" borderId="0"/>
    <xf numFmtId="0" fontId="5" fillId="15" borderId="0">
      <alignment horizontal="left"/>
    </xf>
    <xf numFmtId="0" fontId="5" fillId="15" borderId="0">
      <alignment horizontal="left"/>
    </xf>
    <xf numFmtId="0" fontId="29" fillId="32" borderId="0"/>
    <xf numFmtId="0" fontId="5" fillId="15" borderId="0">
      <alignment horizontal="left"/>
    </xf>
    <xf numFmtId="0" fontId="5" fillId="15" borderId="0">
      <alignment horizontal="left"/>
    </xf>
    <xf numFmtId="0" fontId="29" fillId="32" borderId="0"/>
    <xf numFmtId="0" fontId="29" fillId="32" borderId="0"/>
    <xf numFmtId="0" fontId="5" fillId="15" borderId="0">
      <alignment horizontal="left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15" borderId="0">
      <alignment horizontal="left"/>
    </xf>
    <xf numFmtId="0" fontId="5" fillId="15" borderId="0">
      <alignment horizontal="left"/>
    </xf>
    <xf numFmtId="0" fontId="29" fillId="33" borderId="0"/>
    <xf numFmtId="0" fontId="5" fillId="15" borderId="0">
      <alignment horizontal="left"/>
    </xf>
    <xf numFmtId="0" fontId="5" fillId="15" borderId="0">
      <alignment horizontal="left"/>
    </xf>
    <xf numFmtId="0" fontId="29" fillId="33" borderId="0"/>
    <xf numFmtId="0" fontId="5" fillId="15" borderId="0">
      <alignment horizontal="left"/>
    </xf>
    <xf numFmtId="0" fontId="5" fillId="15" borderId="0">
      <alignment horizontal="left"/>
    </xf>
    <xf numFmtId="0" fontId="29" fillId="33" borderId="0"/>
    <xf numFmtId="0" fontId="29" fillId="33" borderId="0"/>
    <xf numFmtId="0" fontId="5" fillId="15" borderId="0">
      <alignment horizontal="left"/>
    </xf>
    <xf numFmtId="0" fontId="5" fillId="4" borderId="0">
      <alignment horizontal="left" wrapText="1"/>
    </xf>
    <xf numFmtId="0" fontId="5" fillId="4" borderId="0">
      <alignment horizontal="left" wrapText="1"/>
    </xf>
    <xf numFmtId="0" fontId="5" fillId="4" borderId="0">
      <alignment horizontal="left"/>
    </xf>
    <xf numFmtId="0" fontId="29" fillId="34" borderId="0"/>
    <xf numFmtId="0" fontId="5" fillId="15" borderId="0">
      <alignment horizontal="left"/>
    </xf>
    <xf numFmtId="0" fontId="5" fillId="15" borderId="0">
      <alignment horizontal="left"/>
    </xf>
    <xf numFmtId="0" fontId="1" fillId="4" borderId="0"/>
    <xf numFmtId="0" fontId="1" fillId="4" borderId="0"/>
    <xf numFmtId="0" fontId="1" fillId="4" borderId="0"/>
    <xf numFmtId="0" fontId="1" fillId="4" borderId="0"/>
    <xf numFmtId="0" fontId="5" fillId="15" borderId="0">
      <alignment horizontal="left"/>
    </xf>
    <xf numFmtId="0" fontId="5" fillId="15" borderId="0">
      <alignment horizontal="left"/>
    </xf>
    <xf numFmtId="0" fontId="1" fillId="4" borderId="0"/>
    <xf numFmtId="0" fontId="29" fillId="21" borderId="0"/>
    <xf numFmtId="0" fontId="5" fillId="15" borderId="0">
      <alignment horizontal="left"/>
    </xf>
    <xf numFmtId="0" fontId="1" fillId="4" borderId="0"/>
    <xf numFmtId="0" fontId="1" fillId="4" borderId="0"/>
    <xf numFmtId="0" fontId="5" fillId="15" borderId="0">
      <alignment horizontal="left"/>
    </xf>
    <xf numFmtId="0" fontId="29" fillId="34" borderId="0"/>
    <xf numFmtId="0" fontId="29" fillId="21" borderId="0"/>
    <xf numFmtId="0" fontId="29" fillId="21" borderId="0"/>
    <xf numFmtId="0" fontId="5" fillId="15" borderId="0">
      <alignment horizontal="left"/>
    </xf>
    <xf numFmtId="0" fontId="5" fillId="4" borderId="0">
      <alignment horizontal="left"/>
    </xf>
    <xf numFmtId="0" fontId="1" fillId="4" borderId="0"/>
    <xf numFmtId="0" fontId="1" fillId="4" borderId="0"/>
    <xf numFmtId="0" fontId="5" fillId="4" borderId="0">
      <alignment horizontal="left"/>
    </xf>
    <xf numFmtId="0" fontId="1" fillId="4" borderId="0"/>
    <xf numFmtId="0" fontId="1" fillId="4" borderId="0"/>
    <xf numFmtId="0" fontId="5" fillId="4" borderId="0">
      <alignment horizontal="left"/>
    </xf>
    <xf numFmtId="0" fontId="29" fillId="35" borderId="0"/>
    <xf numFmtId="0" fontId="5" fillId="15" borderId="0">
      <alignment horizontal="left"/>
    </xf>
    <xf numFmtId="0" fontId="5" fillId="15" borderId="0">
      <alignment horizontal="left"/>
    </xf>
    <xf numFmtId="0" fontId="29" fillId="34" borderId="0"/>
    <xf numFmtId="0" fontId="5" fillId="15" borderId="0">
      <alignment horizontal="left"/>
    </xf>
    <xf numFmtId="0" fontId="5" fillId="15" borderId="0">
      <alignment horizontal="left"/>
    </xf>
    <xf numFmtId="0" fontId="29" fillId="34" borderId="0"/>
    <xf numFmtId="0" fontId="5" fillId="15" borderId="0">
      <alignment horizontal="left"/>
    </xf>
    <xf numFmtId="0" fontId="5" fillId="15" borderId="0">
      <alignment horizontal="left"/>
    </xf>
    <xf numFmtId="0" fontId="29" fillId="34" borderId="0"/>
    <xf numFmtId="0" fontId="29" fillId="34" borderId="0"/>
    <xf numFmtId="0" fontId="5" fillId="15" borderId="0">
      <alignment horizontal="left"/>
    </xf>
    <xf numFmtId="0" fontId="5" fillId="4" borderId="0">
      <alignment horizontal="left"/>
    </xf>
    <xf numFmtId="0" fontId="5" fillId="4" borderId="0">
      <alignment horizontal="left"/>
    </xf>
    <xf numFmtId="0" fontId="5" fillId="4" borderId="0">
      <alignment horizontal="left"/>
    </xf>
    <xf numFmtId="0" fontId="29" fillId="43" borderId="0"/>
    <xf numFmtId="0" fontId="5" fillId="15" borderId="0">
      <alignment horizontal="left"/>
    </xf>
    <xf numFmtId="0" fontId="5" fillId="15" borderId="0">
      <alignment horizontal="left"/>
    </xf>
    <xf numFmtId="0" fontId="31" fillId="35" borderId="0"/>
    <xf numFmtId="0" fontId="5" fillId="15" borderId="0">
      <alignment horizontal="left"/>
    </xf>
    <xf numFmtId="0" fontId="5" fillId="15" borderId="0">
      <alignment horizontal="left"/>
    </xf>
    <xf numFmtId="0" fontId="31" fillId="35" borderId="0"/>
    <xf numFmtId="0" fontId="5" fillId="15" borderId="0">
      <alignment horizontal="left"/>
    </xf>
    <xf numFmtId="0" fontId="5" fillId="15" borderId="0">
      <alignment horizontal="left"/>
    </xf>
    <xf numFmtId="0" fontId="31" fillId="35" borderId="0"/>
    <xf numFmtId="0" fontId="31" fillId="35" borderId="0"/>
    <xf numFmtId="0" fontId="5" fillId="15" borderId="0">
      <alignment horizontal="left"/>
    </xf>
    <xf numFmtId="0" fontId="5" fillId="4" borderId="0">
      <alignment horizontal="left"/>
    </xf>
    <xf numFmtId="0" fontId="5" fillId="4" borderId="0">
      <alignment horizontal="left"/>
    </xf>
    <xf numFmtId="0" fontId="5" fillId="4" borderId="0">
      <alignment horizontal="left"/>
    </xf>
    <xf numFmtId="0" fontId="31" fillId="36" borderId="0"/>
    <xf numFmtId="0" fontId="5" fillId="15" borderId="0">
      <alignment horizontal="left"/>
    </xf>
    <xf numFmtId="0" fontId="5" fillId="15" borderId="0">
      <alignment horizontal="left"/>
    </xf>
    <xf numFmtId="0" fontId="5" fillId="4" borderId="0"/>
    <xf numFmtId="0" fontId="5" fillId="4" borderId="0"/>
    <xf numFmtId="0" fontId="5" fillId="4" borderId="0"/>
    <xf numFmtId="0" fontId="5" fillId="4" borderId="0"/>
    <xf numFmtId="0" fontId="32" fillId="28" borderId="0"/>
    <xf numFmtId="0" fontId="5" fillId="15" borderId="0">
      <alignment horizontal="left"/>
    </xf>
    <xf numFmtId="0" fontId="5" fillId="15" borderId="0">
      <alignment horizontal="left"/>
    </xf>
    <xf numFmtId="0" fontId="32" fillId="28" borderId="0"/>
    <xf numFmtId="0" fontId="5" fillId="15" borderId="0">
      <alignment horizontal="left"/>
    </xf>
    <xf numFmtId="0" fontId="5" fillId="15" borderId="0">
      <alignment horizontal="left"/>
    </xf>
    <xf numFmtId="0" fontId="31" fillId="36" borderId="0"/>
    <xf numFmtId="0" fontId="32" fillId="28" borderId="0"/>
    <xf numFmtId="0" fontId="32" fillId="28" borderId="0"/>
    <xf numFmtId="0" fontId="5" fillId="15" borderId="0">
      <alignment horizontal="left"/>
    </xf>
    <xf numFmtId="0" fontId="5" fillId="4" borderId="0">
      <alignment horizontal="left"/>
    </xf>
    <xf numFmtId="0" fontId="5" fillId="4" borderId="0"/>
    <xf numFmtId="0" fontId="5" fillId="4" borderId="0">
      <alignment horizontal="left"/>
    </xf>
    <xf numFmtId="0" fontId="5" fillId="4" borderId="0"/>
    <xf numFmtId="0" fontId="5" fillId="4" borderId="0"/>
    <xf numFmtId="0" fontId="31" fillId="36" borderId="0"/>
    <xf numFmtId="0" fontId="31" fillId="2" borderId="0"/>
    <xf numFmtId="0" fontId="31" fillId="36" borderId="0"/>
    <xf numFmtId="0" fontId="31" fillId="2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5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215" fontId="41" fillId="0" borderId="0">
      <alignment vertical="top"/>
    </xf>
    <xf numFmtId="215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215" fontId="41" fillId="0" borderId="0">
      <alignment vertical="top"/>
    </xf>
    <xf numFmtId="0" fontId="41" fillId="0" borderId="0">
      <alignment vertical="top"/>
    </xf>
    <xf numFmtId="0" fontId="41" fillId="0" borderId="0"/>
    <xf numFmtId="0" fontId="41" fillId="0" borderId="0">
      <alignment vertical="top"/>
    </xf>
    <xf numFmtId="0" fontId="41" fillId="0" borderId="0">
      <alignment vertical="top"/>
    </xf>
    <xf numFmtId="0" fontId="41" fillId="0" borderId="0">
      <alignment vertical="top"/>
    </xf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7"/>
    <xf numFmtId="0" fontId="42" fillId="0" borderId="7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215" fontId="42" fillId="0" borderId="6"/>
    <xf numFmtId="215" fontId="42" fillId="0" borderId="6"/>
    <xf numFmtId="0" fontId="42" fillId="0" borderId="7"/>
    <xf numFmtId="215" fontId="42" fillId="0" borderId="6"/>
    <xf numFmtId="215" fontId="42" fillId="0" borderId="6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6"/>
    <xf numFmtId="0" fontId="42" fillId="0" borderId="6"/>
    <xf numFmtId="0" fontId="42" fillId="0" borderId="7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7"/>
    <xf numFmtId="0" fontId="42" fillId="0" borderId="7"/>
    <xf numFmtId="0" fontId="42" fillId="0" borderId="6"/>
    <xf numFmtId="0" fontId="42" fillId="0" borderId="6"/>
    <xf numFmtId="0" fontId="42" fillId="0" borderId="7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  <xf numFmtId="0" fontId="42" fillId="0" borderId="6"/>
  </cellStyleXfs>
  <cellXfs count="334">
    <xf numFmtId="0" fontId="0" fillId="0" borderId="0" xfId="0"/>
    <xf numFmtId="4" fontId="0" fillId="0" borderId="0" xfId="0" applyNumberFormat="1"/>
    <xf numFmtId="4" fontId="43" fillId="0" borderId="0" xfId="0" applyNumberFormat="1" applyFont="1"/>
    <xf numFmtId="4" fontId="44" fillId="0" borderId="0" xfId="0" applyNumberFormat="1" applyFont="1"/>
    <xf numFmtId="0" fontId="45" fillId="0" borderId="0" xfId="0" applyFont="1"/>
    <xf numFmtId="4" fontId="0" fillId="0" borderId="8" xfId="0" applyNumberFormat="1" applyBorder="1"/>
    <xf numFmtId="17" fontId="48" fillId="0" borderId="0" xfId="0" applyNumberFormat="1" applyFont="1" applyAlignment="1">
      <alignment horizontal="left"/>
    </xf>
    <xf numFmtId="4" fontId="4" fillId="0" borderId="0" xfId="0" applyNumberFormat="1" applyFont="1"/>
    <xf numFmtId="4" fontId="1" fillId="0" borderId="0" xfId="0" applyNumberFormat="1" applyFont="1"/>
    <xf numFmtId="4" fontId="31" fillId="0" borderId="0" xfId="0" applyNumberFormat="1" applyFont="1"/>
    <xf numFmtId="164" fontId="49" fillId="0" borderId="0" xfId="0" applyNumberFormat="1" applyFont="1"/>
    <xf numFmtId="164" fontId="50" fillId="0" borderId="0" xfId="0" applyNumberFormat="1" applyFont="1"/>
    <xf numFmtId="0" fontId="50" fillId="45" borderId="0" xfId="0" applyFont="1" applyFill="1"/>
    <xf numFmtId="0" fontId="0" fillId="3" borderId="0" xfId="0" applyFill="1"/>
    <xf numFmtId="15" fontId="20" fillId="3" borderId="11" xfId="0" applyNumberFormat="1" applyFont="1" applyFill="1" applyBorder="1" applyAlignment="1">
      <alignment horizontal="right"/>
    </xf>
    <xf numFmtId="164" fontId="50" fillId="45" borderId="0" xfId="0" applyNumberFormat="1" applyFont="1" applyFill="1"/>
    <xf numFmtId="164" fontId="31" fillId="0" borderId="0" xfId="0" applyNumberFormat="1" applyFont="1"/>
    <xf numFmtId="164" fontId="0" fillId="0" borderId="0" xfId="0" applyNumberFormat="1"/>
    <xf numFmtId="165" fontId="20" fillId="3" borderId="11" xfId="0" applyNumberFormat="1" applyFont="1" applyFill="1" applyBorder="1" applyAlignment="1">
      <alignment horizontal="right"/>
    </xf>
    <xf numFmtId="164" fontId="51" fillId="0" borderId="0" xfId="0" applyNumberFormat="1" applyFont="1"/>
    <xf numFmtId="164" fontId="31" fillId="0" borderId="0" xfId="0" applyNumberFormat="1" applyFont="1" applyAlignment="1">
      <alignment horizontal="right"/>
    </xf>
    <xf numFmtId="164" fontId="52" fillId="3" borderId="11" xfId="0" applyNumberFormat="1" applyFont="1" applyFill="1" applyBorder="1" applyAlignment="1">
      <alignment horizontal="right"/>
    </xf>
    <xf numFmtId="0" fontId="53" fillId="0" borderId="0" xfId="0" applyFont="1"/>
    <xf numFmtId="164" fontId="20" fillId="3" borderId="12" xfId="0" applyNumberFormat="1" applyFont="1" applyFill="1" applyBorder="1" applyAlignment="1">
      <alignment horizontal="right"/>
    </xf>
    <xf numFmtId="164" fontId="54" fillId="0" borderId="0" xfId="0" applyNumberFormat="1" applyFont="1"/>
    <xf numFmtId="164" fontId="50" fillId="46" borderId="0" xfId="0" applyNumberFormat="1" applyFont="1" applyFill="1" applyAlignment="1">
      <alignment horizontal="left"/>
    </xf>
    <xf numFmtId="164" fontId="50" fillId="46" borderId="0" xfId="0" applyNumberFormat="1" applyFont="1" applyFill="1" applyAlignment="1">
      <alignment horizontal="right"/>
    </xf>
    <xf numFmtId="166" fontId="0" fillId="0" borderId="0" xfId="0" applyNumberFormat="1"/>
    <xf numFmtId="0" fontId="55" fillId="0" borderId="0" xfId="0" applyFont="1"/>
    <xf numFmtId="0" fontId="56" fillId="0" borderId="0" xfId="0" applyFont="1" applyAlignment="1">
      <alignment horizontal="center"/>
    </xf>
    <xf numFmtId="167" fontId="57" fillId="0" borderId="0" xfId="0" applyNumberFormat="1" applyFont="1" applyAlignment="1">
      <alignment horizontal="center"/>
    </xf>
    <xf numFmtId="167" fontId="57" fillId="3" borderId="0" xfId="0" applyNumberFormat="1" applyFont="1" applyFill="1" applyAlignment="1">
      <alignment horizontal="center"/>
    </xf>
    <xf numFmtId="10" fontId="0" fillId="0" borderId="0" xfId="0" applyNumberFormat="1"/>
    <xf numFmtId="0" fontId="57" fillId="0" borderId="0" xfId="0" applyFont="1" applyAlignment="1">
      <alignment horizontal="center"/>
    </xf>
    <xf numFmtId="168" fontId="58" fillId="0" borderId="0" xfId="28" applyNumberFormat="1" applyFont="1" applyAlignment="1">
      <alignment horizontal="center"/>
    </xf>
    <xf numFmtId="165" fontId="57" fillId="3" borderId="0" xfId="0" applyNumberFormat="1" applyFont="1" applyFill="1" applyAlignment="1">
      <alignment horizontal="center"/>
    </xf>
    <xf numFmtId="0" fontId="59" fillId="0" borderId="0" xfId="0" applyFont="1" applyAlignment="1">
      <alignment horizontal="left" indent="1"/>
    </xf>
    <xf numFmtId="168" fontId="58" fillId="3" borderId="0" xfId="28" applyNumberFormat="1" applyFont="1" applyFill="1" applyAlignment="1">
      <alignment horizontal="center"/>
    </xf>
    <xf numFmtId="0" fontId="56" fillId="0" borderId="0" xfId="0" applyFont="1"/>
    <xf numFmtId="167" fontId="60" fillId="0" borderId="13" xfId="0" applyNumberFormat="1" applyFont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horizontal="left" indent="1"/>
    </xf>
    <xf numFmtId="0" fontId="59" fillId="0" borderId="0" xfId="0" applyFont="1"/>
    <xf numFmtId="166" fontId="60" fillId="0" borderId="13" xfId="0" applyNumberFormat="1" applyFont="1" applyBorder="1" applyAlignment="1">
      <alignment horizontal="center"/>
    </xf>
    <xf numFmtId="0" fontId="31" fillId="0" borderId="0" xfId="0" applyFont="1"/>
    <xf numFmtId="164" fontId="31" fillId="0" borderId="0" xfId="0" applyNumberFormat="1" applyFont="1" applyAlignment="1">
      <alignment horizontal="left"/>
    </xf>
    <xf numFmtId="0" fontId="54" fillId="0" borderId="0" xfId="0" applyFont="1"/>
    <xf numFmtId="0" fontId="51" fillId="0" borderId="0" xfId="0" applyFont="1"/>
    <xf numFmtId="164" fontId="20" fillId="0" borderId="0" xfId="0" applyNumberFormat="1" applyFont="1" applyAlignment="1">
      <alignment horizontal="left"/>
    </xf>
    <xf numFmtId="15" fontId="20" fillId="0" borderId="0" xfId="0" applyNumberFormat="1" applyFont="1" applyAlignment="1">
      <alignment horizontal="left"/>
    </xf>
    <xf numFmtId="164" fontId="20" fillId="0" borderId="0" xfId="0" applyNumberFormat="1" applyFont="1"/>
    <xf numFmtId="169" fontId="31" fillId="0" borderId="0" xfId="0" applyNumberFormat="1" applyFont="1"/>
    <xf numFmtId="164" fontId="61" fillId="44" borderId="14" xfId="0" applyNumberFormat="1" applyFont="1" applyFill="1" applyBorder="1" applyAlignment="1">
      <alignment horizontal="left"/>
    </xf>
    <xf numFmtId="164" fontId="62" fillId="44" borderId="7" xfId="0" applyNumberFormat="1" applyFont="1" applyFill="1" applyBorder="1" applyAlignment="1">
      <alignment horizontal="left"/>
    </xf>
    <xf numFmtId="15" fontId="20" fillId="44" borderId="7" xfId="0" applyNumberFormat="1" applyFont="1" applyFill="1" applyBorder="1" applyAlignment="1">
      <alignment horizontal="left"/>
    </xf>
    <xf numFmtId="164" fontId="20" fillId="44" borderId="7" xfId="0" applyNumberFormat="1" applyFont="1" applyFill="1" applyBorder="1"/>
    <xf numFmtId="164" fontId="31" fillId="44" borderId="7" xfId="0" applyNumberFormat="1" applyFont="1" applyFill="1" applyBorder="1"/>
    <xf numFmtId="169" fontId="31" fillId="44" borderId="7" xfId="0" applyNumberFormat="1" applyFont="1" applyFill="1" applyBorder="1"/>
    <xf numFmtId="164" fontId="31" fillId="44" borderId="15" xfId="0" applyNumberFormat="1" applyFont="1" applyFill="1" applyBorder="1"/>
    <xf numFmtId="170" fontId="31" fillId="0" borderId="0" xfId="0" applyNumberFormat="1" applyFont="1"/>
    <xf numFmtId="0" fontId="31" fillId="50" borderId="16" xfId="0" applyFont="1" applyFill="1" applyBorder="1"/>
    <xf numFmtId="171" fontId="31" fillId="50" borderId="16" xfId="0" applyNumberFormat="1" applyFont="1" applyFill="1" applyBorder="1" applyAlignment="1">
      <alignment horizontal="right"/>
    </xf>
    <xf numFmtId="171" fontId="20" fillId="50" borderId="16" xfId="0" applyNumberFormat="1" applyFont="1" applyFill="1" applyBorder="1" applyAlignment="1">
      <alignment horizontal="right"/>
    </xf>
    <xf numFmtId="172" fontId="31" fillId="50" borderId="16" xfId="0" applyNumberFormat="1" applyFont="1" applyFill="1" applyBorder="1" applyAlignment="1">
      <alignment horizontal="right"/>
    </xf>
    <xf numFmtId="164" fontId="1" fillId="0" borderId="7" xfId="0" applyNumberFormat="1" applyFont="1" applyBorder="1"/>
    <xf numFmtId="164" fontId="20" fillId="0" borderId="7" xfId="0" applyNumberFormat="1" applyFont="1" applyBorder="1"/>
    <xf numFmtId="164" fontId="31" fillId="0" borderId="7" xfId="0" applyNumberFormat="1" applyFont="1" applyBorder="1"/>
    <xf numFmtId="164" fontId="1" fillId="0" borderId="0" xfId="0" applyNumberFormat="1" applyFont="1"/>
    <xf numFmtId="164" fontId="63" fillId="0" borderId="0" xfId="0" applyNumberFormat="1" applyFont="1"/>
    <xf numFmtId="164" fontId="37" fillId="0" borderId="0" xfId="0" applyNumberFormat="1" applyFont="1"/>
    <xf numFmtId="169" fontId="37" fillId="0" borderId="0" xfId="0" applyNumberFormat="1" applyFont="1" applyAlignment="1">
      <alignment horizontal="right"/>
    </xf>
    <xf numFmtId="170" fontId="37" fillId="0" borderId="0" xfId="0" applyNumberFormat="1" applyFont="1" applyAlignment="1">
      <alignment horizontal="right"/>
    </xf>
    <xf numFmtId="170" fontId="64" fillId="3" borderId="11" xfId="0" applyNumberFormat="1" applyFont="1" applyFill="1" applyBorder="1"/>
    <xf numFmtId="170" fontId="37" fillId="0" borderId="11" xfId="0" applyNumberFormat="1" applyFont="1" applyBorder="1"/>
    <xf numFmtId="170" fontId="65" fillId="3" borderId="11" xfId="0" applyNumberFormat="1" applyFont="1" applyFill="1" applyBorder="1"/>
    <xf numFmtId="170" fontId="37" fillId="0" borderId="17" xfId="0" applyNumberFormat="1" applyFont="1" applyBorder="1"/>
    <xf numFmtId="164" fontId="63" fillId="0" borderId="7" xfId="0" applyNumberFormat="1" applyFont="1" applyBorder="1"/>
    <xf numFmtId="169" fontId="65" fillId="0" borderId="0" xfId="0" applyNumberFormat="1" applyFont="1" applyAlignment="1">
      <alignment horizontal="right"/>
    </xf>
    <xf numFmtId="170" fontId="64" fillId="0" borderId="0" xfId="0" applyNumberFormat="1" applyFont="1"/>
    <xf numFmtId="170" fontId="37" fillId="0" borderId="0" xfId="0" applyNumberFormat="1" applyFont="1"/>
    <xf numFmtId="39" fontId="31" fillId="0" borderId="0" xfId="0" applyNumberFormat="1" applyFont="1"/>
    <xf numFmtId="10" fontId="31" fillId="0" borderId="0" xfId="0" applyNumberFormat="1" applyFont="1"/>
    <xf numFmtId="164" fontId="4" fillId="44" borderId="7" xfId="0" applyNumberFormat="1" applyFont="1" applyFill="1" applyBorder="1"/>
    <xf numFmtId="164" fontId="31" fillId="3" borderId="7" xfId="0" applyNumberFormat="1" applyFont="1" applyFill="1" applyBorder="1"/>
    <xf numFmtId="164" fontId="50" fillId="44" borderId="13" xfId="0" applyNumberFormat="1" applyFont="1" applyFill="1" applyBorder="1" applyAlignment="1">
      <alignment horizontal="left"/>
    </xf>
    <xf numFmtId="164" fontId="62" fillId="44" borderId="13" xfId="0" applyNumberFormat="1" applyFont="1" applyFill="1" applyBorder="1" applyAlignment="1">
      <alignment horizontal="left"/>
    </xf>
    <xf numFmtId="15" fontId="20" fillId="44" borderId="13" xfId="0" applyNumberFormat="1" applyFont="1" applyFill="1" applyBorder="1" applyAlignment="1">
      <alignment horizontal="left"/>
    </xf>
    <xf numFmtId="164" fontId="61" fillId="44" borderId="13" xfId="0" applyNumberFormat="1" applyFont="1" applyFill="1" applyBorder="1" applyAlignment="1">
      <alignment horizontal="left"/>
    </xf>
    <xf numFmtId="0" fontId="31" fillId="50" borderId="0" xfId="0" applyFont="1" applyFill="1"/>
    <xf numFmtId="171" fontId="31" fillId="50" borderId="0" xfId="0" applyNumberFormat="1" applyFont="1" applyFill="1" applyAlignment="1">
      <alignment horizontal="right"/>
    </xf>
    <xf numFmtId="171" fontId="31" fillId="50" borderId="0" xfId="0" applyNumberFormat="1" applyFont="1" applyFill="1" applyAlignment="1">
      <alignment horizontal="center"/>
    </xf>
    <xf numFmtId="172" fontId="31" fillId="50" borderId="16" xfId="0" applyNumberFormat="1" applyFont="1" applyFill="1" applyBorder="1" applyAlignment="1">
      <alignment horizontal="center"/>
    </xf>
    <xf numFmtId="0" fontId="50" fillId="48" borderId="0" xfId="0" applyFont="1" applyFill="1"/>
    <xf numFmtId="171" fontId="50" fillId="48" borderId="0" xfId="0" applyNumberFormat="1" applyFont="1" applyFill="1" applyAlignment="1">
      <alignment horizontal="right"/>
    </xf>
    <xf numFmtId="171" fontId="50" fillId="48" borderId="0" xfId="0" applyNumberFormat="1" applyFont="1" applyFill="1" applyAlignment="1">
      <alignment horizontal="center"/>
    </xf>
    <xf numFmtId="0" fontId="66" fillId="0" borderId="0" xfId="0" applyFont="1" applyAlignment="1">
      <alignment vertical="center"/>
    </xf>
    <xf numFmtId="167" fontId="66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vertical="center"/>
    </xf>
    <xf numFmtId="169" fontId="67" fillId="0" borderId="0" xfId="0" applyNumberFormat="1" applyFont="1" applyAlignment="1">
      <alignment horizontal="right" vertical="center"/>
    </xf>
    <xf numFmtId="169" fontId="67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right" vertical="center"/>
    </xf>
    <xf numFmtId="170" fontId="67" fillId="0" borderId="0" xfId="0" applyNumberFormat="1" applyFont="1" applyAlignment="1">
      <alignment horizontal="center" vertical="center"/>
    </xf>
    <xf numFmtId="167" fontId="68" fillId="0" borderId="0" xfId="0" applyNumberFormat="1" applyFont="1" applyAlignment="1">
      <alignment horizontal="center" vertical="center"/>
    </xf>
    <xf numFmtId="170" fontId="67" fillId="0" borderId="3" xfId="0" applyNumberFormat="1" applyFont="1" applyBorder="1" applyAlignment="1">
      <alignment horizontal="center" vertical="center"/>
    </xf>
    <xf numFmtId="164" fontId="66" fillId="0" borderId="0" xfId="0" applyNumberFormat="1" applyFont="1" applyAlignment="1">
      <alignment vertical="center"/>
    </xf>
    <xf numFmtId="0" fontId="68" fillId="0" borderId="0" xfId="0" applyFont="1" applyAlignment="1">
      <alignment horizontal="left" vertical="center"/>
    </xf>
    <xf numFmtId="0" fontId="67" fillId="0" borderId="3" xfId="0" applyFont="1" applyBorder="1" applyAlignment="1">
      <alignment horizontal="left" vertical="center"/>
    </xf>
    <xf numFmtId="0" fontId="68" fillId="0" borderId="3" xfId="0" applyFont="1" applyBorder="1" applyAlignment="1">
      <alignment vertical="center"/>
    </xf>
    <xf numFmtId="169" fontId="67" fillId="0" borderId="3" xfId="0" applyNumberFormat="1" applyFont="1" applyBorder="1" applyAlignment="1">
      <alignment horizontal="right" vertical="center"/>
    </xf>
    <xf numFmtId="169" fontId="67" fillId="0" borderId="3" xfId="0" applyNumberFormat="1" applyFont="1" applyBorder="1" applyAlignment="1">
      <alignment horizontal="center" vertical="center"/>
    </xf>
    <xf numFmtId="0" fontId="65" fillId="0" borderId="0" xfId="0" applyFont="1" applyAlignment="1">
      <alignment horizontal="left" indent="1"/>
    </xf>
    <xf numFmtId="0" fontId="49" fillId="0" borderId="0" xfId="0" applyFont="1"/>
    <xf numFmtId="0" fontId="50" fillId="0" borderId="0" xfId="0" applyFont="1"/>
    <xf numFmtId="15" fontId="20" fillId="38" borderId="18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5" fontId="31" fillId="0" borderId="18" xfId="0" applyNumberFormat="1" applyFont="1" applyBorder="1" applyAlignment="1">
      <alignment horizontal="right"/>
    </xf>
    <xf numFmtId="168" fontId="20" fillId="38" borderId="18" xfId="0" applyNumberFormat="1" applyFont="1" applyFill="1" applyBorder="1"/>
    <xf numFmtId="166" fontId="20" fillId="38" borderId="18" xfId="0" applyNumberFormat="1" applyFont="1" applyFill="1" applyBorder="1" applyAlignment="1">
      <alignment horizontal="right"/>
    </xf>
    <xf numFmtId="169" fontId="0" fillId="0" borderId="0" xfId="0" applyNumberFormat="1"/>
    <xf numFmtId="0" fontId="50" fillId="46" borderId="0" xfId="0" applyFont="1" applyFill="1" applyAlignment="1">
      <alignment horizontal="left"/>
    </xf>
    <xf numFmtId="0" fontId="1" fillId="0" borderId="0" xfId="0" applyFont="1"/>
    <xf numFmtId="167" fontId="1" fillId="0" borderId="0" xfId="0" applyNumberFormat="1" applyFont="1"/>
    <xf numFmtId="167" fontId="31" fillId="0" borderId="0" xfId="0" applyNumberFormat="1" applyFont="1"/>
    <xf numFmtId="0" fontId="50" fillId="47" borderId="0" xfId="0" applyFont="1" applyFill="1"/>
    <xf numFmtId="0" fontId="50" fillId="48" borderId="0" xfId="0" applyFont="1" applyFill="1" applyAlignment="1">
      <alignment horizontal="center"/>
    </xf>
    <xf numFmtId="171" fontId="31" fillId="50" borderId="19" xfId="0" applyNumberFormat="1" applyFont="1" applyFill="1" applyBorder="1" applyAlignment="1">
      <alignment horizontal="right"/>
    </xf>
    <xf numFmtId="172" fontId="31" fillId="0" borderId="0" xfId="0" applyNumberFormat="1" applyFont="1" applyAlignment="1">
      <alignment horizontal="right"/>
    </xf>
    <xf numFmtId="0" fontId="69" fillId="0" borderId="0" xfId="0" applyFont="1"/>
    <xf numFmtId="0" fontId="0" fillId="0" borderId="20" xfId="0" applyBorder="1"/>
    <xf numFmtId="164" fontId="63" fillId="0" borderId="20" xfId="0" applyNumberFormat="1" applyFont="1" applyBorder="1"/>
    <xf numFmtId="170" fontId="69" fillId="0" borderId="0" xfId="0" applyNumberFormat="1" applyFont="1"/>
    <xf numFmtId="170" fontId="69" fillId="0" borderId="20" xfId="0" applyNumberFormat="1" applyFont="1" applyBorder="1"/>
    <xf numFmtId="169" fontId="69" fillId="0" borderId="0" xfId="0" applyNumberFormat="1" applyFont="1"/>
    <xf numFmtId="169" fontId="69" fillId="0" borderId="20" xfId="0" applyNumberFormat="1" applyFont="1" applyBorder="1"/>
    <xf numFmtId="164" fontId="31" fillId="0" borderId="20" xfId="0" applyNumberFormat="1" applyFont="1" applyBorder="1"/>
    <xf numFmtId="164" fontId="0" fillId="0" borderId="20" xfId="0" applyNumberFormat="1" applyBorder="1"/>
    <xf numFmtId="168" fontId="70" fillId="0" borderId="0" xfId="28" applyNumberFormat="1" applyFont="1"/>
    <xf numFmtId="168" fontId="70" fillId="0" borderId="20" xfId="28" applyNumberFormat="1" applyFont="1" applyBorder="1"/>
    <xf numFmtId="169" fontId="69" fillId="0" borderId="0" xfId="0" applyNumberFormat="1" applyFont="1" applyAlignment="1">
      <alignment horizontal="right"/>
    </xf>
    <xf numFmtId="170" fontId="0" fillId="0" borderId="0" xfId="0" applyNumberFormat="1"/>
    <xf numFmtId="0" fontId="0" fillId="0" borderId="7" xfId="0" applyBorder="1"/>
    <xf numFmtId="164" fontId="0" fillId="0" borderId="7" xfId="0" applyNumberFormat="1" applyBorder="1"/>
    <xf numFmtId="164" fontId="0" fillId="0" borderId="15" xfId="0" applyNumberFormat="1" applyBorder="1"/>
    <xf numFmtId="164" fontId="31" fillId="0" borderId="3" xfId="0" applyNumberFormat="1" applyFont="1" applyBorder="1"/>
    <xf numFmtId="0" fontId="0" fillId="0" borderId="15" xfId="0" applyBorder="1"/>
    <xf numFmtId="164" fontId="0" fillId="0" borderId="3" xfId="0" applyNumberFormat="1" applyBorder="1"/>
    <xf numFmtId="0" fontId="0" fillId="0" borderId="13" xfId="0" applyBorder="1"/>
    <xf numFmtId="0" fontId="0" fillId="0" borderId="21" xfId="0" applyBorder="1"/>
    <xf numFmtId="167" fontId="31" fillId="0" borderId="13" xfId="0" applyNumberFormat="1" applyFont="1" applyBorder="1"/>
    <xf numFmtId="167" fontId="0" fillId="0" borderId="13" xfId="0" applyNumberFormat="1" applyBorder="1"/>
    <xf numFmtId="0" fontId="0" fillId="0" borderId="3" xfId="0" applyBorder="1"/>
    <xf numFmtId="0" fontId="0" fillId="0" borderId="22" xfId="0" applyBorder="1"/>
    <xf numFmtId="173" fontId="31" fillId="0" borderId="3" xfId="0" applyNumberFormat="1" applyFont="1" applyBorder="1"/>
    <xf numFmtId="173" fontId="0" fillId="0" borderId="3" xfId="0" applyNumberFormat="1" applyBorder="1"/>
    <xf numFmtId="164" fontId="31" fillId="50" borderId="0" xfId="0" applyNumberFormat="1" applyFont="1" applyFill="1"/>
    <xf numFmtId="164" fontId="31" fillId="50" borderId="16" xfId="0" applyNumberFormat="1" applyFont="1" applyFill="1" applyBorder="1"/>
    <xf numFmtId="0" fontId="31" fillId="50" borderId="16" xfId="0" applyFont="1" applyFill="1" applyBorder="1" applyAlignment="1">
      <alignment horizontal="right"/>
    </xf>
    <xf numFmtId="0" fontId="31" fillId="50" borderId="16" xfId="0" applyFont="1" applyFill="1" applyBorder="1" applyAlignment="1">
      <alignment horizontal="center"/>
    </xf>
    <xf numFmtId="37" fontId="31" fillId="0" borderId="0" xfId="0" applyNumberFormat="1" applyFont="1"/>
    <xf numFmtId="0" fontId="71" fillId="0" borderId="7" xfId="0" applyFont="1" applyBorder="1"/>
    <xf numFmtId="37" fontId="71" fillId="0" borderId="7" xfId="0" applyNumberFormat="1" applyFont="1" applyBorder="1"/>
    <xf numFmtId="169" fontId="71" fillId="0" borderId="7" xfId="0" applyNumberFormat="1" applyFont="1" applyBorder="1"/>
    <xf numFmtId="164" fontId="71" fillId="0" borderId="7" xfId="0" applyNumberFormat="1" applyFont="1" applyBorder="1"/>
    <xf numFmtId="169" fontId="71" fillId="0" borderId="0" xfId="0" applyNumberFormat="1" applyFont="1"/>
    <xf numFmtId="37" fontId="0" fillId="0" borderId="13" xfId="0" applyNumberFormat="1" applyBorder="1"/>
    <xf numFmtId="169" fontId="71" fillId="0" borderId="13" xfId="0" applyNumberFormat="1" applyFont="1" applyBorder="1"/>
    <xf numFmtId="164" fontId="0" fillId="0" borderId="13" xfId="0" applyNumberFormat="1" applyBorder="1"/>
    <xf numFmtId="0" fontId="69" fillId="0" borderId="3" xfId="0" applyFont="1" applyBorder="1"/>
    <xf numFmtId="170" fontId="69" fillId="0" borderId="3" xfId="28" applyNumberFormat="1" applyFont="1" applyBorder="1"/>
    <xf numFmtId="169" fontId="71" fillId="0" borderId="3" xfId="0" applyNumberFormat="1" applyFont="1" applyBorder="1"/>
    <xf numFmtId="168" fontId="69" fillId="0" borderId="3" xfId="28" applyNumberFormat="1" applyFont="1" applyBorder="1"/>
    <xf numFmtId="0" fontId="71" fillId="0" borderId="0" xfId="0" applyFont="1"/>
    <xf numFmtId="169" fontId="20" fillId="38" borderId="11" xfId="0" applyNumberFormat="1" applyFont="1" applyFill="1" applyBorder="1"/>
    <xf numFmtId="10" fontId="20" fillId="38" borderId="11" xfId="0" applyNumberFormat="1" applyFont="1" applyFill="1" applyBorder="1"/>
    <xf numFmtId="166" fontId="20" fillId="38" borderId="11" xfId="0" applyNumberFormat="1" applyFont="1" applyFill="1" applyBorder="1"/>
    <xf numFmtId="169" fontId="20" fillId="0" borderId="11" xfId="0" applyNumberFormat="1" applyFont="1" applyBorder="1"/>
    <xf numFmtId="170" fontId="20" fillId="0" borderId="12" xfId="0" applyNumberFormat="1" applyFont="1" applyBorder="1"/>
    <xf numFmtId="0" fontId="50" fillId="51" borderId="0" xfId="0" applyFont="1" applyFill="1"/>
    <xf numFmtId="0" fontId="72" fillId="50" borderId="16" xfId="0" applyFont="1" applyFill="1" applyBorder="1"/>
    <xf numFmtId="0" fontId="71" fillId="12" borderId="23" xfId="0" applyFont="1" applyFill="1" applyBorder="1" applyAlignment="1">
      <alignment horizontal="center"/>
    </xf>
    <xf numFmtId="0" fontId="71" fillId="12" borderId="0" xfId="0" applyFont="1" applyFill="1" applyAlignment="1">
      <alignment horizontal="left"/>
    </xf>
    <xf numFmtId="0" fontId="71" fillId="12" borderId="0" xfId="0" applyFont="1" applyFill="1" applyAlignment="1">
      <alignment horizontal="center"/>
    </xf>
    <xf numFmtId="0" fontId="71" fillId="12" borderId="20" xfId="0" applyFont="1" applyFill="1" applyBorder="1" applyAlignment="1">
      <alignment horizontal="center"/>
    </xf>
    <xf numFmtId="37" fontId="73" fillId="12" borderId="23" xfId="0" applyNumberFormat="1" applyFont="1" applyFill="1" applyBorder="1"/>
    <xf numFmtId="10" fontId="0" fillId="12" borderId="0" xfId="0" applyNumberFormat="1" applyFill="1"/>
    <xf numFmtId="10" fontId="63" fillId="0" borderId="24" xfId="0" applyNumberFormat="1" applyFont="1" applyBorder="1"/>
    <xf numFmtId="10" fontId="0" fillId="12" borderId="20" xfId="0" applyNumberFormat="1" applyFill="1" applyBorder="1"/>
    <xf numFmtId="164" fontId="73" fillId="12" borderId="23" xfId="0" applyNumberFormat="1" applyFont="1" applyFill="1" applyBorder="1"/>
    <xf numFmtId="166" fontId="0" fillId="12" borderId="0" xfId="0" applyNumberFormat="1" applyFill="1" applyAlignment="1">
      <alignment horizontal="center"/>
    </xf>
    <xf numFmtId="166" fontId="63" fillId="0" borderId="25" xfId="0" applyNumberFormat="1" applyFont="1" applyBorder="1" applyAlignment="1">
      <alignment horizontal="center"/>
    </xf>
    <xf numFmtId="166" fontId="0" fillId="12" borderId="20" xfId="0" applyNumberFormat="1" applyFill="1" applyBorder="1" applyAlignment="1">
      <alignment horizontal="center"/>
    </xf>
    <xf numFmtId="169" fontId="0" fillId="12" borderId="23" xfId="0" applyNumberFormat="1" applyFill="1" applyBorder="1"/>
    <xf numFmtId="37" fontId="31" fillId="0" borderId="26" xfId="0" applyNumberFormat="1" applyFont="1" applyBorder="1" applyAlignment="1">
      <alignment horizontal="center"/>
    </xf>
    <xf numFmtId="37" fontId="31" fillId="0" borderId="13" xfId="0" applyNumberFormat="1" applyFont="1" applyBorder="1" applyAlignment="1">
      <alignment horizontal="center"/>
    </xf>
    <xf numFmtId="37" fontId="31" fillId="0" borderId="0" xfId="0" applyNumberFormat="1" applyFont="1" applyAlignment="1">
      <alignment horizontal="center"/>
    </xf>
    <xf numFmtId="37" fontId="31" fillId="0" borderId="21" xfId="0" applyNumberFormat="1" applyFont="1" applyBorder="1" applyAlignment="1">
      <alignment horizontal="center"/>
    </xf>
    <xf numFmtId="37" fontId="0" fillId="0" borderId="26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0" borderId="21" xfId="0" applyNumberFormat="1" applyBorder="1" applyAlignment="1">
      <alignment horizontal="center"/>
    </xf>
    <xf numFmtId="37" fontId="31" fillId="0" borderId="23" xfId="0" applyNumberFormat="1" applyFont="1" applyBorder="1" applyAlignment="1">
      <alignment horizontal="center"/>
    </xf>
    <xf numFmtId="37" fontId="31" fillId="52" borderId="0" xfId="0" applyNumberFormat="1" applyFont="1" applyFill="1" applyAlignment="1">
      <alignment horizontal="center"/>
    </xf>
    <xf numFmtId="37" fontId="31" fillId="0" borderId="20" xfId="0" applyNumberFormat="1" applyFont="1" applyBorder="1" applyAlignment="1">
      <alignment horizontal="center"/>
    </xf>
    <xf numFmtId="37" fontId="0" fillId="0" borderId="23" xfId="0" applyNumberFormat="1" applyBorder="1" applyAlignment="1">
      <alignment horizontal="center"/>
    </xf>
    <xf numFmtId="37" fontId="0" fillId="12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20" xfId="0" applyNumberFormat="1" applyBorder="1" applyAlignment="1">
      <alignment horizontal="center"/>
    </xf>
    <xf numFmtId="37" fontId="0" fillId="0" borderId="0" xfId="0" applyNumberFormat="1"/>
    <xf numFmtId="169" fontId="63" fillId="0" borderId="27" xfId="0" applyNumberFormat="1" applyFont="1" applyBorder="1"/>
    <xf numFmtId="168" fontId="0" fillId="12" borderId="23" xfId="0" applyNumberFormat="1" applyFill="1" applyBorder="1"/>
    <xf numFmtId="168" fontId="0" fillId="12" borderId="28" xfId="0" applyNumberFormat="1" applyFill="1" applyBorder="1"/>
    <xf numFmtId="37" fontId="31" fillId="0" borderId="28" xfId="0" applyNumberFormat="1" applyFont="1" applyBorder="1" applyAlignment="1">
      <alignment horizontal="center"/>
    </xf>
    <xf numFmtId="37" fontId="31" fillId="0" borderId="3" xfId="0" applyNumberFormat="1" applyFont="1" applyBorder="1" applyAlignment="1">
      <alignment horizontal="center"/>
    </xf>
    <xf numFmtId="37" fontId="31" fillId="0" borderId="22" xfId="0" applyNumberFormat="1" applyFont="1" applyBorder="1" applyAlignment="1">
      <alignment horizontal="center"/>
    </xf>
    <xf numFmtId="37" fontId="0" fillId="0" borderId="28" xfId="0" applyNumberFormat="1" applyBorder="1" applyAlignment="1">
      <alignment horizontal="center"/>
    </xf>
    <xf numFmtId="37" fontId="0" fillId="0" borderId="3" xfId="0" applyNumberFormat="1" applyBorder="1" applyAlignment="1">
      <alignment horizontal="center"/>
    </xf>
    <xf numFmtId="37" fontId="0" fillId="0" borderId="22" xfId="0" applyNumberFormat="1" applyBorder="1" applyAlignment="1">
      <alignment horizontal="center"/>
    </xf>
    <xf numFmtId="10" fontId="0" fillId="12" borderId="0" xfId="0" applyNumberFormat="1" applyFill="1" applyAlignment="1">
      <alignment horizontal="center"/>
    </xf>
    <xf numFmtId="10" fontId="63" fillId="0" borderId="24" xfId="0" applyNumberFormat="1" applyFont="1" applyBorder="1" applyAlignment="1">
      <alignment horizontal="center"/>
    </xf>
    <xf numFmtId="10" fontId="0" fillId="12" borderId="20" xfId="0" applyNumberFormat="1" applyFill="1" applyBorder="1" applyAlignment="1">
      <alignment horizontal="center"/>
    </xf>
    <xf numFmtId="166" fontId="0" fillId="12" borderId="0" xfId="0" applyNumberFormat="1" applyFill="1"/>
    <xf numFmtId="166" fontId="63" fillId="0" borderId="24" xfId="0" applyNumberFormat="1" applyFont="1" applyBorder="1"/>
    <xf numFmtId="166" fontId="0" fillId="12" borderId="20" xfId="0" applyNumberFormat="1" applyFill="1" applyBorder="1"/>
    <xf numFmtId="167" fontId="0" fillId="0" borderId="26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21" xfId="0" applyNumberFormat="1" applyBorder="1" applyAlignment="1">
      <alignment horizontal="center"/>
    </xf>
    <xf numFmtId="37" fontId="0" fillId="0" borderId="26" xfId="0" applyNumberFormat="1" applyBorder="1"/>
    <xf numFmtId="37" fontId="0" fillId="0" borderId="21" xfId="0" applyNumberFormat="1" applyBorder="1"/>
    <xf numFmtId="167" fontId="0" fillId="0" borderId="23" xfId="0" applyNumberFormat="1" applyBorder="1" applyAlignment="1">
      <alignment horizontal="center"/>
    </xf>
    <xf numFmtId="167" fontId="0" fillId="12" borderId="0" xfId="0" applyNumberFormat="1" applyFill="1" applyAlignment="1">
      <alignment horizontal="center"/>
    </xf>
    <xf numFmtId="167" fontId="0" fillId="0" borderId="20" xfId="0" applyNumberFormat="1" applyBorder="1" applyAlignment="1">
      <alignment horizontal="center"/>
    </xf>
    <xf numFmtId="37" fontId="0" fillId="0" borderId="23" xfId="0" applyNumberFormat="1" applyBorder="1"/>
    <xf numFmtId="37" fontId="0" fillId="12" borderId="0" xfId="0" applyNumberFormat="1" applyFill="1"/>
    <xf numFmtId="37" fontId="0" fillId="0" borderId="20" xfId="0" applyNumberFormat="1" applyBorder="1"/>
    <xf numFmtId="167" fontId="0" fillId="0" borderId="28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22" xfId="0" applyNumberFormat="1" applyBorder="1" applyAlignment="1">
      <alignment horizontal="center"/>
    </xf>
    <xf numFmtId="37" fontId="0" fillId="0" borderId="28" xfId="0" applyNumberFormat="1" applyBorder="1"/>
    <xf numFmtId="37" fontId="0" fillId="0" borderId="3" xfId="0" applyNumberFormat="1" applyBorder="1"/>
    <xf numFmtId="37" fontId="0" fillId="0" borderId="22" xfId="0" applyNumberFormat="1" applyBorder="1"/>
    <xf numFmtId="164" fontId="62" fillId="44" borderId="0" xfId="0" applyNumberFormat="1" applyFont="1" applyFill="1" applyAlignment="1">
      <alignment horizontal="left"/>
    </xf>
    <xf numFmtId="171" fontId="31" fillId="50" borderId="0" xfId="0" applyNumberFormat="1" applyFont="1" applyFill="1"/>
    <xf numFmtId="172" fontId="31" fillId="50" borderId="0" xfId="0" applyNumberFormat="1" applyFont="1" applyFill="1" applyAlignment="1">
      <alignment horizontal="right"/>
    </xf>
    <xf numFmtId="0" fontId="20" fillId="0" borderId="0" xfId="0" applyFont="1"/>
    <xf numFmtId="173" fontId="31" fillId="0" borderId="0" xfId="0" applyNumberFormat="1" applyFont="1"/>
    <xf numFmtId="0" fontId="37" fillId="0" borderId="0" xfId="0" applyFont="1" applyAlignment="1">
      <alignment horizontal="right"/>
    </xf>
    <xf numFmtId="170" fontId="65" fillId="0" borderId="0" xfId="0" applyNumberFormat="1" applyFont="1" applyAlignment="1">
      <alignment horizontal="right"/>
    </xf>
    <xf numFmtId="173" fontId="31" fillId="0" borderId="0" xfId="0" applyNumberFormat="1" applyFont="1" applyAlignment="1">
      <alignment horizontal="right"/>
    </xf>
    <xf numFmtId="0" fontId="65" fillId="0" borderId="0" xfId="0" applyFont="1" applyAlignment="1">
      <alignment horizontal="right"/>
    </xf>
    <xf numFmtId="0" fontId="31" fillId="0" borderId="3" xfId="0" applyFont="1" applyBorder="1"/>
    <xf numFmtId="0" fontId="1" fillId="0" borderId="3" xfId="0" applyFont="1" applyBorder="1"/>
    <xf numFmtId="0" fontId="74" fillId="0" borderId="29" xfId="0" applyFont="1" applyBorder="1"/>
    <xf numFmtId="0" fontId="75" fillId="0" borderId="0" xfId="0" applyFont="1"/>
    <xf numFmtId="0" fontId="76" fillId="0" borderId="0" xfId="0" applyFont="1"/>
    <xf numFmtId="0" fontId="50" fillId="53" borderId="0" xfId="0" applyFont="1" applyFill="1" applyAlignment="1">
      <alignment horizontal="left"/>
    </xf>
    <xf numFmtId="0" fontId="29" fillId="53" borderId="0" xfId="0" applyFont="1" applyFill="1"/>
    <xf numFmtId="0" fontId="31" fillId="50" borderId="0" xfId="0" applyFont="1" applyFill="1" applyAlignment="1">
      <alignment horizontal="left" vertical="center" readingOrder="1"/>
    </xf>
    <xf numFmtId="0" fontId="31" fillId="50" borderId="0" xfId="0" applyFont="1" applyFill="1" applyAlignment="1">
      <alignment horizontal="left" vertical="center" wrapText="1" readingOrder="1"/>
    </xf>
    <xf numFmtId="0" fontId="31" fillId="50" borderId="0" xfId="542" applyNumberFormat="1" applyFont="1" applyFill="1" applyAlignment="1">
      <alignment horizontal="right" vertical="center" wrapText="1" readingOrder="1"/>
    </xf>
    <xf numFmtId="0" fontId="31" fillId="50" borderId="30" xfId="0" applyFont="1" applyFill="1" applyBorder="1" applyAlignment="1">
      <alignment horizontal="left" vertical="center" readingOrder="1"/>
    </xf>
    <xf numFmtId="0" fontId="31" fillId="50" borderId="30" xfId="0" applyFont="1" applyFill="1" applyBorder="1" applyAlignment="1">
      <alignment horizontal="left" vertical="center" wrapText="1" readingOrder="1"/>
    </xf>
    <xf numFmtId="0" fontId="31" fillId="50" borderId="30" xfId="0" applyFont="1" applyFill="1" applyBorder="1" applyAlignment="1">
      <alignment horizontal="right" vertical="center" wrapText="1" readingOrder="1"/>
    </xf>
    <xf numFmtId="172" fontId="77" fillId="50" borderId="16" xfId="0" applyNumberFormat="1" applyFont="1" applyFill="1" applyBorder="1" applyAlignment="1">
      <alignment horizontal="right"/>
    </xf>
    <xf numFmtId="174" fontId="72" fillId="6" borderId="0" xfId="542" applyNumberFormat="1" applyFont="1" applyFill="1" applyAlignment="1">
      <alignment vertical="center"/>
    </xf>
    <xf numFmtId="0" fontId="72" fillId="6" borderId="0" xfId="542" applyNumberFormat="1" applyFont="1" applyFill="1" applyAlignment="1">
      <alignment vertical="center"/>
    </xf>
    <xf numFmtId="167" fontId="78" fillId="6" borderId="0" xfId="542" applyNumberFormat="1" applyFont="1" applyFill="1" applyAlignment="1">
      <alignment vertical="center"/>
    </xf>
    <xf numFmtId="0" fontId="78" fillId="0" borderId="0" xfId="542" applyNumberFormat="1" applyFont="1" applyAlignment="1">
      <alignment vertical="center"/>
    </xf>
    <xf numFmtId="174" fontId="79" fillId="0" borderId="0" xfId="542" applyNumberFormat="1" applyFont="1" applyAlignment="1">
      <alignment vertical="center"/>
    </xf>
    <xf numFmtId="0" fontId="79" fillId="0" borderId="0" xfId="542" applyNumberFormat="1" applyFont="1" applyAlignment="1">
      <alignment vertical="center"/>
    </xf>
    <xf numFmtId="0" fontId="79" fillId="0" borderId="0" xfId="191" applyNumberFormat="1" applyFont="1" applyAlignment="1">
      <alignment vertical="center"/>
    </xf>
    <xf numFmtId="170" fontId="80" fillId="0" borderId="0" xfId="191" applyNumberFormat="1" applyFont="1" applyAlignment="1">
      <alignment vertical="center"/>
    </xf>
    <xf numFmtId="0" fontId="80" fillId="0" borderId="0" xfId="191" applyNumberFormat="1" applyFont="1" applyAlignment="1">
      <alignment vertical="center"/>
    </xf>
    <xf numFmtId="174" fontId="31" fillId="0" borderId="0" xfId="542" applyNumberFormat="1" applyFont="1" applyAlignment="1">
      <alignment vertical="center"/>
    </xf>
    <xf numFmtId="0" fontId="31" fillId="0" borderId="0" xfId="542" applyNumberFormat="1" applyFont="1" applyAlignment="1">
      <alignment vertical="center"/>
    </xf>
    <xf numFmtId="167" fontId="77" fillId="0" borderId="0" xfId="542" applyNumberFormat="1" applyFont="1" applyAlignment="1">
      <alignment vertical="center"/>
    </xf>
    <xf numFmtId="0" fontId="77" fillId="0" borderId="0" xfId="542" applyNumberFormat="1" applyFont="1" applyAlignment="1">
      <alignment vertical="center"/>
    </xf>
    <xf numFmtId="173" fontId="77" fillId="0" borderId="0" xfId="542" applyNumberFormat="1" applyFont="1" applyAlignment="1">
      <alignment vertical="center"/>
    </xf>
    <xf numFmtId="175" fontId="77" fillId="0" borderId="0" xfId="542" applyNumberFormat="1" applyFont="1" applyAlignment="1">
      <alignment vertical="center"/>
    </xf>
    <xf numFmtId="174" fontId="72" fillId="6" borderId="3" xfId="542" applyNumberFormat="1" applyFont="1" applyFill="1" applyBorder="1" applyAlignment="1">
      <alignment vertical="center"/>
    </xf>
    <xf numFmtId="0" fontId="72" fillId="6" borderId="3" xfId="542" applyNumberFormat="1" applyFont="1" applyFill="1" applyBorder="1" applyAlignment="1">
      <alignment vertical="center"/>
    </xf>
    <xf numFmtId="167" fontId="78" fillId="6" borderId="3" xfId="542" applyNumberFormat="1" applyFont="1" applyFill="1" applyBorder="1" applyAlignment="1">
      <alignment vertical="center"/>
    </xf>
    <xf numFmtId="0" fontId="72" fillId="2" borderId="3" xfId="0" applyFont="1" applyFill="1" applyBorder="1" applyAlignment="1">
      <alignment horizontal="left" vertical="center"/>
    </xf>
    <xf numFmtId="0" fontId="72" fillId="2" borderId="3" xfId="0" applyFont="1" applyFill="1" applyBorder="1" applyAlignment="1">
      <alignment horizontal="left"/>
    </xf>
    <xf numFmtId="0" fontId="31" fillId="2" borderId="3" xfId="0" applyFont="1" applyFill="1" applyBorder="1"/>
    <xf numFmtId="15" fontId="31" fillId="50" borderId="0" xfId="0" applyNumberFormat="1" applyFont="1" applyFill="1" applyAlignment="1">
      <alignment horizontal="right" vertical="center" wrapText="1" readingOrder="1"/>
    </xf>
    <xf numFmtId="0" fontId="72" fillId="0" borderId="0" xfId="0" applyFont="1" applyAlignment="1">
      <alignment horizontal="left" vertical="center" readingOrder="1"/>
    </xf>
    <xf numFmtId="15" fontId="31" fillId="0" borderId="0" xfId="0" applyNumberFormat="1" applyFont="1" applyAlignment="1">
      <alignment horizontal="right" vertical="center" wrapText="1" readingOrder="1"/>
    </xf>
    <xf numFmtId="15" fontId="72" fillId="0" borderId="0" xfId="0" applyNumberFormat="1" applyFont="1" applyAlignment="1">
      <alignment horizontal="center" vertical="center" readingOrder="1"/>
    </xf>
    <xf numFmtId="15" fontId="31" fillId="0" borderId="0" xfId="0" applyNumberFormat="1" applyFont="1" applyAlignment="1">
      <alignment horizontal="center" vertical="center" readingOrder="1"/>
    </xf>
    <xf numFmtId="0" fontId="31" fillId="50" borderId="30" xfId="0" applyFont="1" applyFill="1" applyBorder="1" applyAlignment="1">
      <alignment horizontal="center" vertical="center" wrapText="1" readingOrder="1"/>
    </xf>
    <xf numFmtId="15" fontId="31" fillId="0" borderId="0" xfId="0" applyNumberFormat="1" applyFont="1" applyAlignment="1">
      <alignment horizontal="center" vertical="center" wrapText="1" readingOrder="1"/>
    </xf>
    <xf numFmtId="0" fontId="77" fillId="0" borderId="0" xfId="342" applyFont="1" applyAlignment="1">
      <alignment vertical="center"/>
    </xf>
    <xf numFmtId="0" fontId="31" fillId="0" borderId="0" xfId="342" applyFont="1" applyAlignment="1">
      <alignment vertical="center"/>
    </xf>
    <xf numFmtId="167" fontId="77" fillId="0" borderId="0" xfId="542" applyNumberFormat="1" applyFont="1" applyAlignment="1">
      <alignment horizontal="center" vertical="center"/>
    </xf>
    <xf numFmtId="170" fontId="77" fillId="0" borderId="0" xfId="191" applyNumberFormat="1" applyFont="1" applyAlignment="1">
      <alignment horizontal="center" vertical="center"/>
    </xf>
    <xf numFmtId="0" fontId="77" fillId="50" borderId="0" xfId="0" applyFont="1" applyFill="1" applyAlignment="1">
      <alignment horizontal="right" vertical="center" wrapText="1" readingOrder="1"/>
    </xf>
    <xf numFmtId="176" fontId="77" fillId="50" borderId="30" xfId="191" applyNumberFormat="1" applyFont="1" applyFill="1" applyBorder="1" applyAlignment="1">
      <alignment horizontal="center" vertical="center" wrapText="1" readingOrder="1"/>
    </xf>
    <xf numFmtId="170" fontId="31" fillId="0" borderId="0" xfId="191" applyNumberFormat="1" applyFont="1" applyAlignment="1">
      <alignment horizontal="center" vertical="center" wrapText="1" readingOrder="1"/>
    </xf>
    <xf numFmtId="170" fontId="77" fillId="50" borderId="31" xfId="191" applyNumberFormat="1" applyFont="1" applyFill="1" applyBorder="1" applyAlignment="1">
      <alignment vertical="center" wrapText="1" readingOrder="1"/>
    </xf>
    <xf numFmtId="0" fontId="77" fillId="0" borderId="0" xfId="0" applyFont="1" applyAlignment="1">
      <alignment horizontal="center" vertical="center"/>
    </xf>
    <xf numFmtId="167" fontId="77" fillId="0" borderId="0" xfId="553" applyNumberFormat="1" applyFont="1" applyAlignment="1">
      <alignment horizontal="center" vertical="center"/>
    </xf>
    <xf numFmtId="166" fontId="31" fillId="0" borderId="0" xfId="553" applyNumberFormat="1" applyFont="1" applyAlignment="1">
      <alignment horizontal="center" vertical="center" wrapText="1" readingOrder="1"/>
    </xf>
    <xf numFmtId="0" fontId="78" fillId="6" borderId="3" xfId="342" applyFont="1" applyFill="1" applyBorder="1" applyAlignment="1">
      <alignment vertical="center"/>
    </xf>
    <xf numFmtId="0" fontId="72" fillId="6" borderId="3" xfId="342" applyFont="1" applyFill="1" applyBorder="1" applyAlignment="1">
      <alignment vertical="center"/>
    </xf>
    <xf numFmtId="167" fontId="78" fillId="6" borderId="3" xfId="542" applyNumberFormat="1" applyFont="1" applyFill="1" applyBorder="1" applyAlignment="1">
      <alignment horizontal="center" vertical="center"/>
    </xf>
    <xf numFmtId="170" fontId="78" fillId="6" borderId="3" xfId="191" applyNumberFormat="1" applyFont="1" applyFill="1" applyBorder="1" applyAlignment="1">
      <alignment horizontal="center" vertical="center"/>
    </xf>
    <xf numFmtId="167" fontId="77" fillId="6" borderId="0" xfId="553" applyNumberFormat="1" applyFont="1" applyFill="1" applyAlignment="1">
      <alignment horizontal="center" vertical="center"/>
    </xf>
    <xf numFmtId="167" fontId="77" fillId="0" borderId="0" xfId="342" applyNumberFormat="1" applyFont="1" applyAlignment="1">
      <alignment horizontal="center" vertical="center"/>
    </xf>
    <xf numFmtId="0" fontId="77" fillId="0" borderId="0" xfId="0" applyFont="1" applyAlignment="1">
      <alignment horizontal="center"/>
    </xf>
    <xf numFmtId="167" fontId="78" fillId="6" borderId="0" xfId="553" applyNumberFormat="1" applyFont="1" applyFill="1" applyAlignment="1">
      <alignment horizontal="center" vertical="center"/>
    </xf>
    <xf numFmtId="166" fontId="72" fillId="0" borderId="0" xfId="553" applyNumberFormat="1" applyFont="1" applyAlignment="1">
      <alignment horizontal="center" vertical="center" wrapText="1" readingOrder="1"/>
    </xf>
    <xf numFmtId="0" fontId="78" fillId="0" borderId="0" xfId="553" applyNumberFormat="1" applyFont="1" applyAlignment="1">
      <alignment horizontal="center" vertical="center"/>
    </xf>
    <xf numFmtId="170" fontId="77" fillId="50" borderId="32" xfId="191" applyNumberFormat="1" applyFont="1" applyFill="1" applyBorder="1" applyAlignment="1">
      <alignment vertical="center" wrapText="1" readingOrder="1"/>
    </xf>
    <xf numFmtId="167" fontId="77" fillId="0" borderId="3" xfId="553" applyNumberFormat="1" applyFont="1" applyBorder="1" applyAlignment="1">
      <alignment horizontal="center" vertical="center"/>
    </xf>
    <xf numFmtId="0" fontId="77" fillId="0" borderId="0" xfId="342" applyFont="1" applyAlignment="1">
      <alignment horizontal="left" vertical="center" indent="1"/>
    </xf>
    <xf numFmtId="170" fontId="81" fillId="0" borderId="0" xfId="342" applyNumberFormat="1" applyFont="1" applyAlignment="1">
      <alignment horizontal="center" vertical="center"/>
    </xf>
    <xf numFmtId="0" fontId="82" fillId="0" borderId="0" xfId="0" applyFont="1"/>
    <xf numFmtId="0" fontId="0" fillId="16" borderId="3" xfId="0" applyFill="1" applyBorder="1" applyAlignment="1">
      <alignment horizontal="center"/>
    </xf>
    <xf numFmtId="0" fontId="0" fillId="0" borderId="3" xfId="0" applyBorder="1"/>
    <xf numFmtId="4" fontId="46" fillId="44" borderId="9" xfId="0" applyNumberFormat="1" applyFont="1" applyFill="1" applyBorder="1" applyAlignment="1">
      <alignment horizontal="left" vertical="center"/>
    </xf>
    <xf numFmtId="4" fontId="0" fillId="0" borderId="0" xfId="0" applyNumberFormat="1"/>
    <xf numFmtId="0" fontId="0" fillId="0" borderId="9" xfId="0" applyBorder="1"/>
    <xf numFmtId="0" fontId="47" fillId="0" borderId="10" xfId="0" applyFont="1" applyBorder="1" applyAlignment="1">
      <alignment horizontal="center" textRotation="90"/>
    </xf>
    <xf numFmtId="0" fontId="0" fillId="0" borderId="10" xfId="0" applyBorder="1"/>
    <xf numFmtId="164" fontId="50" fillId="48" borderId="0" xfId="0" applyNumberFormat="1" applyFont="1" applyFill="1" applyAlignment="1">
      <alignment horizontal="center"/>
    </xf>
    <xf numFmtId="0" fontId="31" fillId="0" borderId="0" xfId="0" applyFont="1"/>
    <xf numFmtId="164" fontId="50" fillId="47" borderId="0" xfId="0" applyNumberFormat="1" applyFont="1" applyFill="1" applyAlignment="1">
      <alignment horizontal="center"/>
    </xf>
    <xf numFmtId="164" fontId="50" fillId="49" borderId="0" xfId="0" applyNumberFormat="1" applyFont="1" applyFill="1" applyAlignment="1">
      <alignment horizontal="center"/>
    </xf>
    <xf numFmtId="0" fontId="65" fillId="50" borderId="3" xfId="0" applyFont="1" applyFill="1" applyBorder="1" applyAlignment="1">
      <alignment horizontal="center" vertical="center" textRotation="90" wrapText="1" readingOrder="1"/>
    </xf>
    <xf numFmtId="0" fontId="0" fillId="0" borderId="0" xfId="0"/>
    <xf numFmtId="0" fontId="31" fillId="50" borderId="30" xfId="0" applyFont="1" applyFill="1" applyBorder="1" applyAlignment="1">
      <alignment horizontal="left" vertical="center" readingOrder="1"/>
    </xf>
    <xf numFmtId="0" fontId="0" fillId="0" borderId="30" xfId="0" applyBorder="1"/>
    <xf numFmtId="15" fontId="65" fillId="50" borderId="0" xfId="0" applyNumberFormat="1" applyFont="1" applyFill="1" applyAlignment="1">
      <alignment horizontal="center" vertical="center" wrapText="1" readingOrder="1"/>
    </xf>
  </cellXfs>
  <cellStyles count="1537">
    <cellStyle name="_x0010_" xfId="1" xr:uid="{00000000-0005-0000-0000-000006000000}"/>
    <cellStyle name="-" xfId="69" xr:uid="{00000000-0005-0000-0000-00004A000000}"/>
    <cellStyle name="#" xfId="2" xr:uid="{00000000-0005-0000-0000-000007000000}"/>
    <cellStyle name="#_Feeder" xfId="3" xr:uid="{00000000-0005-0000-0000-000008000000}"/>
    <cellStyle name="#_Feeder_Ratings Adj._FLAMINGO" xfId="4" xr:uid="{00000000-0005-0000-0000-000009000000}"/>
    <cellStyle name="#_Gerresheimer_Bank_model_021205_final" xfId="5" xr:uid="{00000000-0005-0000-0000-00000A000000}"/>
    <cellStyle name="#_M&amp;A Model" xfId="6" xr:uid="{00000000-0005-0000-0000-00000B000000}"/>
    <cellStyle name="#_M&amp;A Model_Ratings Adj._FLAMINGO" xfId="7" xr:uid="{00000000-0005-0000-0000-00000C000000}"/>
    <cellStyle name="#_M&amp;A projections" xfId="8" xr:uid="{00000000-0005-0000-0000-00000D000000}"/>
    <cellStyle name="#_M&amp;A projections_Ratings Adj._FLAMINGO" xfId="9" xr:uid="{00000000-0005-0000-0000-00000E000000}"/>
    <cellStyle name="#_Ratings Adj._FLAMINGO" xfId="10" xr:uid="{00000000-0005-0000-0000-00000F000000}"/>
    <cellStyle name="$" xfId="11" xr:uid="{00000000-0005-0000-0000-000010000000}"/>
    <cellStyle name="$ &amp; ¢" xfId="12" xr:uid="{00000000-0005-0000-0000-000011000000}"/>
    <cellStyle name="$ Currency" xfId="13" xr:uid="{00000000-0005-0000-0000-000012000000}"/>
    <cellStyle name="$_Ipsen Act" xfId="17" xr:uid="{00000000-0005-0000-0000-000016000000}"/>
    <cellStyle name="$0" xfId="14" xr:uid="{00000000-0005-0000-0000-000013000000}"/>
    <cellStyle name="$1" xfId="15" xr:uid="{00000000-0005-0000-0000-000014000000}"/>
    <cellStyle name="$2" xfId="16" xr:uid="{00000000-0005-0000-0000-000015000000}"/>
    <cellStyle name="$m" xfId="18" xr:uid="{00000000-0005-0000-0000-000017000000}"/>
    <cellStyle name="%" xfId="19" xr:uid="{00000000-0005-0000-0000-000018000000}"/>
    <cellStyle name="% [2]" xfId="20" xr:uid="{00000000-0005-0000-0000-000019000000}"/>
    <cellStyle name="%.00" xfId="21" xr:uid="{00000000-0005-0000-0000-00001A000000}"/>
    <cellStyle name="%_Blank LBO Model v15" xfId="25" xr:uid="{00000000-0005-0000-0000-00001E000000}"/>
    <cellStyle name="%_Crib sheet" xfId="26" xr:uid="{00000000-0005-0000-0000-00001F000000}"/>
    <cellStyle name="%_Crib sheet_Covenants_draft_260412" xfId="27" xr:uid="{00000000-0005-0000-0000-000020000000}"/>
    <cellStyle name="%_Feeder" xfId="28" xr:uid="{00000000-0005-0000-0000-000021000000}"/>
    <cellStyle name="%_George - LBO Model 3.1" xfId="29" xr:uid="{00000000-0005-0000-0000-000022000000}"/>
    <cellStyle name="%_Head Office Pack - Draft 4" xfId="30" xr:uid="{00000000-0005-0000-0000-000023000000}"/>
    <cellStyle name="%_Head Office Pack - Draft 4_Covenants_draft_260412" xfId="31" xr:uid="{00000000-0005-0000-0000-000024000000}"/>
    <cellStyle name="%_Internal" xfId="32" xr:uid="{00000000-0005-0000-0000-000025000000}"/>
    <cellStyle name="%_Internal 1" xfId="33" xr:uid="{00000000-0005-0000-0000-000026000000}"/>
    <cellStyle name="%_Internal 1_Projections Pack" xfId="34" xr:uid="{00000000-0005-0000-0000-000027000000}"/>
    <cellStyle name="%_Internal 1_Projections Pack (TM)" xfId="35" xr:uid="{00000000-0005-0000-0000-000028000000}"/>
    <cellStyle name="%_Internal 1_Quasi Rent Illustration" xfId="36" xr:uid="{00000000-0005-0000-0000-000029000000}"/>
    <cellStyle name="%_Internal_Projections Pack" xfId="37" xr:uid="{00000000-0005-0000-0000-00002A000000}"/>
    <cellStyle name="%_Internal_Projections Pack (TM)" xfId="38" xr:uid="{00000000-0005-0000-0000-00002B000000}"/>
    <cellStyle name="%_Internal_Quasi Rent Illustration" xfId="39" xr:uid="{00000000-0005-0000-0000-00002C000000}"/>
    <cellStyle name="%_IT Budget 2011" xfId="40" xr:uid="{00000000-0005-0000-0000-00002D000000}"/>
    <cellStyle name="%_IT Budget Master 2011 - Draft V2 1 (2)" xfId="41" xr:uid="{00000000-0005-0000-0000-00002E000000}"/>
    <cellStyle name="%_Labour Benchmark - 17th Sept" xfId="42" xr:uid="{00000000-0005-0000-0000-00002F000000}"/>
    <cellStyle name="%_Labour Benchmark - 17th Sept_Covenants_draft_260412" xfId="43" xr:uid="{00000000-0005-0000-0000-000030000000}"/>
    <cellStyle name="%_Labour Top Down vs Bottom Up" xfId="44" xr:uid="{00000000-0005-0000-0000-000031000000}"/>
    <cellStyle name="%_Labour Top Down vs Bottom Up_Covenants_draft_260412" xfId="45" xr:uid="{00000000-0005-0000-0000-000032000000}"/>
    <cellStyle name="%_M&amp;A Model" xfId="46" xr:uid="{00000000-0005-0000-0000-000033000000}"/>
    <cellStyle name="%_M&amp;A projections" xfId="47" xr:uid="{00000000-0005-0000-0000-000034000000}"/>
    <cellStyle name="%_Marketing &amp; Product" xfId="48" xr:uid="{00000000-0005-0000-0000-000035000000}"/>
    <cellStyle name="%_Marketing Bridge" xfId="49" xr:uid="{00000000-0005-0000-0000-000036000000}"/>
    <cellStyle name="%_Marketing Bridge_Covenants_draft_260412" xfId="50" xr:uid="{00000000-0005-0000-0000-000037000000}"/>
    <cellStyle name="%_Marketing Bridge_Marketing &amp; Product" xfId="51" xr:uid="{00000000-0005-0000-0000-000038000000}"/>
    <cellStyle name="%_Net Gain Review Pack - 28th Sept" xfId="52" xr:uid="{00000000-0005-0000-0000-000039000000}"/>
    <cellStyle name="%_Page for Exec Pack" xfId="53" xr:uid="{00000000-0005-0000-0000-00003A000000}"/>
    <cellStyle name="%_PAR overlay" xfId="54" xr:uid="{00000000-0005-0000-0000-00003B000000}"/>
    <cellStyle name="%_PAR overlay_Projections Pack" xfId="55" xr:uid="{00000000-0005-0000-0000-00003C000000}"/>
    <cellStyle name="%_PAR overlay_Projections Pack (TM)" xfId="56" xr:uid="{00000000-0005-0000-0000-00003D000000}"/>
    <cellStyle name="%_PAR overlay_Quasi Rent Illustration" xfId="57" xr:uid="{00000000-0005-0000-0000-00003E000000}"/>
    <cellStyle name="%_Sceanrio 2 Update - Dec 2nd" xfId="58" xr:uid="{00000000-0005-0000-0000-00003F000000}"/>
    <cellStyle name="%_Sceanrio 2 Update - Dec 2nd_Projections Pack" xfId="59" xr:uid="{00000000-0005-0000-0000-000040000000}"/>
    <cellStyle name="%_Sceanrio 2 Update - Dec 2nd_Projections Pack (TM)" xfId="60" xr:uid="{00000000-0005-0000-0000-000041000000}"/>
    <cellStyle name="%_Sceanrio 2 Update - Dec 2nd_Quasi Rent Illustration" xfId="61" xr:uid="{00000000-0005-0000-0000-000042000000}"/>
    <cellStyle name="%_Sheet1" xfId="62" xr:uid="{00000000-0005-0000-0000-000043000000}"/>
    <cellStyle name="%0" xfId="22" xr:uid="{00000000-0005-0000-0000-00001B000000}"/>
    <cellStyle name="%1" xfId="23" xr:uid="{00000000-0005-0000-0000-00001C000000}"/>
    <cellStyle name="%2" xfId="24" xr:uid="{00000000-0005-0000-0000-00001D000000}"/>
    <cellStyle name="%input" xfId="63" xr:uid="{00000000-0005-0000-0000-000044000000}"/>
    <cellStyle name="******************************************" xfId="64" xr:uid="{00000000-0005-0000-0000-000045000000}"/>
    <cellStyle name="*TD" xfId="65" xr:uid="{00000000-0005-0000-0000-000046000000}"/>
    <cellStyle name="." xfId="70" xr:uid="{00000000-0005-0000-0000-00004B000000}"/>
    <cellStyle name=".1" xfId="71" xr:uid="{00000000-0005-0000-0000-00004C000000}"/>
    <cellStyle name=";;;" xfId="177" xr:uid="{00000000-0005-0000-0000-0000B6000000}"/>
    <cellStyle name="?? [0]_??" xfId="180" xr:uid="{00000000-0005-0000-0000-0000B9000000}"/>
    <cellStyle name="??_?.????" xfId="181" xr:uid="{00000000-0005-0000-0000-0000BA000000}"/>
    <cellStyle name="\" xfId="182" xr:uid="{00000000-0005-0000-0000-0000BB000000}"/>
    <cellStyle name="\_bluebirdacdil13" xfId="183" xr:uid="{00000000-0005-0000-0000-0000BC000000}"/>
    <cellStyle name="\_ecomps7w" xfId="184" xr:uid="{00000000-0005-0000-0000-0000BD000000}"/>
    <cellStyle name="\_equitycomps9" xfId="185" xr:uid="{00000000-0005-0000-0000-0000BE000000}"/>
    <cellStyle name="\_houston Isabel" xfId="186" xr:uid="{00000000-0005-0000-0000-0000BF000000}"/>
    <cellStyle name="\_hybrid2" xfId="187" xr:uid="{00000000-0005-0000-0000-0000C0000000}"/>
    <cellStyle name="\_ITXCcomps" xfId="188" xr:uid="{00000000-0005-0000-0000-0000C1000000}"/>
    <cellStyle name="\_newcomps16" xfId="189" xr:uid="{00000000-0005-0000-0000-0000C2000000}"/>
    <cellStyle name="\_ravenpitch3" xfId="190" xr:uid="{00000000-0005-0000-0000-0000C3000000}"/>
    <cellStyle name="_%(SignOnly)" xfId="191" xr:uid="{00000000-0005-0000-0000-0000C4000000}"/>
    <cellStyle name="_%(SignOnly)_EXPN" xfId="192" xr:uid="{00000000-0005-0000-0000-0000C5000000}"/>
    <cellStyle name="_%(SignSpaceOnly)" xfId="193" xr:uid="{00000000-0005-0000-0000-0000C6000000}"/>
    <cellStyle name="_%(SignSpaceOnly)_EXPN" xfId="194" xr:uid="{00000000-0005-0000-0000-0000C7000000}"/>
    <cellStyle name="_2009 04 Capex reporting Exec pack draft" xfId="195" xr:uid="{00000000-0005-0000-0000-0000C8000000}"/>
    <cellStyle name="_2009 04 Capex reporting Exec pack draft_Covenants_draft_260412" xfId="196" xr:uid="{00000000-0005-0000-0000-0000C9000000}"/>
    <cellStyle name="_2009 04 Capex reporting Exec pack draft_Head Office Pack - Draft 1" xfId="197" xr:uid="{00000000-0005-0000-0000-0000CA000000}"/>
    <cellStyle name="_2009 04 Capex reporting Exec pack draft_Head Office Pack - Draft 4" xfId="198" xr:uid="{00000000-0005-0000-0000-0000CB000000}"/>
    <cellStyle name="_2009 04 Capex reporting Exec pack draft_Property Budget 2011" xfId="199" xr:uid="{00000000-0005-0000-0000-0000CC000000}"/>
    <cellStyle name="_2009 04 Capex reporting Exec pack draft_Property Budget 2011_Covenants_draft_260412" xfId="200" xr:uid="{00000000-0005-0000-0000-0000CD000000}"/>
    <cellStyle name="_2009 04 Capex reporting Exec pack draft_Property Budget 2011_Marketing &amp; Product" xfId="201" xr:uid="{00000000-0005-0000-0000-0000CE000000}"/>
    <cellStyle name="_2009 04 Capex reporting Exec pack draft_Sheet1" xfId="202" xr:uid="{00000000-0005-0000-0000-0000CF000000}"/>
    <cellStyle name="_2009 05 Capex reporting EXEC PACK draft v2" xfId="203" xr:uid="{00000000-0005-0000-0000-0000D0000000}"/>
    <cellStyle name="_2009 05 Capex reporting EXEC PACK draft v2_Covenants_draft_260412" xfId="204" xr:uid="{00000000-0005-0000-0000-0000D1000000}"/>
    <cellStyle name="_2009 05 Capex reporting EXEC PACK draft v2_Head Office Pack - Draft 1" xfId="205" xr:uid="{00000000-0005-0000-0000-0000D2000000}"/>
    <cellStyle name="_2009 05 Capex reporting EXEC PACK draft v2_Head Office Pack - Draft 4" xfId="206" xr:uid="{00000000-0005-0000-0000-0000D3000000}"/>
    <cellStyle name="_2009 05 Capex reporting EXEC PACK draft v2_Property Budget 2011" xfId="207" xr:uid="{00000000-0005-0000-0000-0000D4000000}"/>
    <cellStyle name="_2009 05 Capex reporting EXEC PACK draft v2_Property Budget 2011_Covenants_draft_260412" xfId="208" xr:uid="{00000000-0005-0000-0000-0000D5000000}"/>
    <cellStyle name="_2009 05 Capex reporting EXEC PACK draft v2_Property Budget 2011_Marketing &amp; Product" xfId="209" xr:uid="{00000000-0005-0000-0000-0000D6000000}"/>
    <cellStyle name="_2009 05 Capex reporting EXEC PACK draft v2_Sheet1" xfId="210" xr:uid="{00000000-0005-0000-0000-0000D7000000}"/>
    <cellStyle name="_2009 P3 Capex report v1" xfId="211" xr:uid="{00000000-0005-0000-0000-0000D8000000}"/>
    <cellStyle name="_2009 P3 Capex report v1_Covenants_draft_260412" xfId="212" xr:uid="{00000000-0005-0000-0000-0000D9000000}"/>
    <cellStyle name="_2009 P3 Capex report v1_Head Office Pack - Draft 1" xfId="213" xr:uid="{00000000-0005-0000-0000-0000DA000000}"/>
    <cellStyle name="_2009 P3 Capex report v1_Head Office Pack - Draft 4" xfId="214" xr:uid="{00000000-0005-0000-0000-0000DB000000}"/>
    <cellStyle name="_2009 P3 Capex report v1_Property Budget 2011" xfId="215" xr:uid="{00000000-0005-0000-0000-0000DC000000}"/>
    <cellStyle name="_2009 P3 Capex report v1_Property Budget 2011_Covenants_draft_260412" xfId="216" xr:uid="{00000000-0005-0000-0000-0000DD000000}"/>
    <cellStyle name="_2009 P3 Capex report v1_Property Budget 2011_Marketing &amp; Product" xfId="217" xr:uid="{00000000-0005-0000-0000-0000DE000000}"/>
    <cellStyle name="_2009 P3 Capex report v1_Sheet1" xfId="218" xr:uid="{00000000-0005-0000-0000-0000DF000000}"/>
    <cellStyle name="_2010 Budget - Property PPM" xfId="219" xr:uid="{00000000-0005-0000-0000-0000E0000000}"/>
    <cellStyle name="_2010 Budget - Property PPM_Covenants_draft_260412" xfId="220" xr:uid="{00000000-0005-0000-0000-0000E1000000}"/>
    <cellStyle name="_2010 Budget - Property PPM_Head Office Pack - Draft 1" xfId="221" xr:uid="{00000000-0005-0000-0000-0000E2000000}"/>
    <cellStyle name="_2010 Budget - Property PPM_Head Office Pack - Draft 4" xfId="222" xr:uid="{00000000-0005-0000-0000-0000E3000000}"/>
    <cellStyle name="_2010 Budget - Property PPM_Sheet1" xfId="223" xr:uid="{00000000-0005-0000-0000-0000E4000000}"/>
    <cellStyle name="_2010 Rent Budget" xfId="224" xr:uid="{00000000-0005-0000-0000-0000E5000000}"/>
    <cellStyle name="_2010 Rent Budget_Covenants_draft_260412" xfId="225" xr:uid="{00000000-0005-0000-0000-0000E6000000}"/>
    <cellStyle name="_2010 Rent Budget_Head Office Pack - Draft 1" xfId="226" xr:uid="{00000000-0005-0000-0000-0000E7000000}"/>
    <cellStyle name="_2010 Rent Budget_Head Office Pack - Draft 4" xfId="227" xr:uid="{00000000-0005-0000-0000-0000E8000000}"/>
    <cellStyle name="_2010 Rent Budget_Sheet1" xfId="228" xr:uid="{00000000-0005-0000-0000-0000E9000000}"/>
    <cellStyle name="_57 Project Fly (2)" xfId="229" xr:uid="{00000000-0005-0000-0000-0000EA000000}"/>
    <cellStyle name="_Aberdeen" xfId="230" xr:uid="{00000000-0005-0000-0000-0000EB000000}"/>
    <cellStyle name="_Accruals" xfId="231" xr:uid="{00000000-0005-0000-0000-0000EC000000}"/>
    <cellStyle name="_Accruals_Covenants_draft_260412" xfId="232" xr:uid="{00000000-0005-0000-0000-0000ED000000}"/>
    <cellStyle name="_Accruals_Head Office Pack - Draft 1" xfId="233" xr:uid="{00000000-0005-0000-0000-0000EE000000}"/>
    <cellStyle name="_Accruals_Head Office Pack - Draft 4" xfId="234" xr:uid="{00000000-0005-0000-0000-0000EF000000}"/>
    <cellStyle name="_Accruals_Property Budget 2011" xfId="235" xr:uid="{00000000-0005-0000-0000-0000F0000000}"/>
    <cellStyle name="_Accruals_Property Budget 2011_Covenants_draft_260412" xfId="236" xr:uid="{00000000-0005-0000-0000-0000F1000000}"/>
    <cellStyle name="_Accruals_Property Budget 2011_Marketing &amp; Product" xfId="237" xr:uid="{00000000-0005-0000-0000-0000F2000000}"/>
    <cellStyle name="_Accruals_Sheet1" xfId="238" xr:uid="{00000000-0005-0000-0000-0000F3000000}"/>
    <cellStyle name="_Benchmarking - generic sheet" xfId="239" xr:uid="{00000000-0005-0000-0000-0000F4000000}"/>
    <cellStyle name="_Benchmarking - generic sheet_Covenants_draft_260412" xfId="240" xr:uid="{00000000-0005-0000-0000-0000F5000000}"/>
    <cellStyle name="_Benchmarking - generic sheet_Head Office Pack - Draft 1" xfId="241" xr:uid="{00000000-0005-0000-0000-0000F6000000}"/>
    <cellStyle name="_Benchmarking - generic sheet_Head Office Pack - Draft 4" xfId="242" xr:uid="{00000000-0005-0000-0000-0000F7000000}"/>
    <cellStyle name="_Benchmarking - generic sheet_Property Budget 2011" xfId="243" xr:uid="{00000000-0005-0000-0000-0000F8000000}"/>
    <cellStyle name="_Benchmarking - generic sheet_Property Budget 2011_Covenants_draft_260412" xfId="244" xr:uid="{00000000-0005-0000-0000-0000F9000000}"/>
    <cellStyle name="_Benchmarking - generic sheet_Property Budget 2011_Marketing &amp; Product" xfId="245" xr:uid="{00000000-0005-0000-0000-0000FA000000}"/>
    <cellStyle name="_Benchmarking - generic sheet_Sheet1" xfId="246" xr:uid="{00000000-0005-0000-0000-0000FB000000}"/>
    <cellStyle name="_Blank LBO Model v15" xfId="247" xr:uid="{00000000-0005-0000-0000-0000FC000000}"/>
    <cellStyle name="_Book2" xfId="248" xr:uid="{00000000-0005-0000-0000-0000FD000000}"/>
    <cellStyle name="_Book2_Covenants_draft_260412" xfId="249" xr:uid="{00000000-0005-0000-0000-0000FE000000}"/>
    <cellStyle name="_Book2_Head Office Pack - Draft 1" xfId="250" xr:uid="{00000000-0005-0000-0000-0000FF000000}"/>
    <cellStyle name="_Book2_Head Office Pack - Draft 4" xfId="251" xr:uid="{00000000-0005-0000-0000-000000010000}"/>
    <cellStyle name="_Book2_Property Budget 2011" xfId="252" xr:uid="{00000000-0005-0000-0000-000001010000}"/>
    <cellStyle name="_Book2_Property Budget 2011_Covenants_draft_260412" xfId="253" xr:uid="{00000000-0005-0000-0000-000002010000}"/>
    <cellStyle name="_Book2_Property Budget 2011_Marketing &amp; Product" xfId="254" xr:uid="{00000000-0005-0000-0000-000003010000}"/>
    <cellStyle name="_Book2_Sheet1" xfId="255" xr:uid="{00000000-0005-0000-0000-000004010000}"/>
    <cellStyle name="_Book3" xfId="256" xr:uid="{00000000-0005-0000-0000-000005010000}"/>
    <cellStyle name="_BTI Financial forecasts" xfId="257" xr:uid="{00000000-0005-0000-0000-000006010000}"/>
    <cellStyle name="_Cairo LBO model - Sept 06" xfId="258" xr:uid="{00000000-0005-0000-0000-000007010000}"/>
    <cellStyle name="_Capex" xfId="259" xr:uid="{00000000-0005-0000-0000-000008010000}"/>
    <cellStyle name="_Capex_Book2" xfId="260" xr:uid="{00000000-0005-0000-0000-000009010000}"/>
    <cellStyle name="_Capex_Covenants_draft_260412" xfId="261" xr:uid="{00000000-0005-0000-0000-00000A010000}"/>
    <cellStyle name="_Capex_DRAFT 11" xfId="262" xr:uid="{00000000-0005-0000-0000-00000B010000}"/>
    <cellStyle name="_Capex_DRAFT 11_Covenants_draft_260412" xfId="263" xr:uid="{00000000-0005-0000-0000-00000C010000}"/>
    <cellStyle name="_Capex_DRAFT 11_Marketing &amp; Product" xfId="264" xr:uid="{00000000-0005-0000-0000-00000D010000}"/>
    <cellStyle name="_Capex_Head Office Pack - Draft 1" xfId="265" xr:uid="{00000000-0005-0000-0000-00000E010000}"/>
    <cellStyle name="_Capex_Head Office Pack - Draft 4" xfId="266" xr:uid="{00000000-0005-0000-0000-00000F010000}"/>
    <cellStyle name="_Capex_Internal" xfId="267" xr:uid="{00000000-0005-0000-0000-000010010000}"/>
    <cellStyle name="_Capex_Internal 1" xfId="268" xr:uid="{00000000-0005-0000-0000-000011010000}"/>
    <cellStyle name="_Capex_Internal 1_Projections Pack" xfId="269" xr:uid="{00000000-0005-0000-0000-000012010000}"/>
    <cellStyle name="_Capex_Internal 1_Projections Pack (TM)" xfId="270" xr:uid="{00000000-0005-0000-0000-000013010000}"/>
    <cellStyle name="_Capex_Internal 1_Quasi Rent Illustration" xfId="271" xr:uid="{00000000-0005-0000-0000-000014010000}"/>
    <cellStyle name="_Capex_Internal_Projections Pack" xfId="272" xr:uid="{00000000-0005-0000-0000-000015010000}"/>
    <cellStyle name="_Capex_Internal_Projections Pack (TM)" xfId="273" xr:uid="{00000000-0005-0000-0000-000016010000}"/>
    <cellStyle name="_Capex_Internal_Quasi Rent Illustration" xfId="274" xr:uid="{00000000-0005-0000-0000-000017010000}"/>
    <cellStyle name="_Capex_IT Budget 2011" xfId="275" xr:uid="{00000000-0005-0000-0000-000018010000}"/>
    <cellStyle name="_Capex_IT Budget Master 2011 - Draft V2 1 (2)" xfId="276" xr:uid="{00000000-0005-0000-0000-000019010000}"/>
    <cellStyle name="_Capex_Net Gain Review Pack - 28th Sept" xfId="277" xr:uid="{00000000-0005-0000-0000-00001A010000}"/>
    <cellStyle name="_Capex_PAR overlay" xfId="278" xr:uid="{00000000-0005-0000-0000-00001B010000}"/>
    <cellStyle name="_Capex_PAR overlay_Projections Pack" xfId="279" xr:uid="{00000000-0005-0000-0000-00001C010000}"/>
    <cellStyle name="_Capex_PAR overlay_Projections Pack (TM)" xfId="280" xr:uid="{00000000-0005-0000-0000-00001D010000}"/>
    <cellStyle name="_Capex_PAR overlay_Quasi Rent Illustration" xfId="281" xr:uid="{00000000-0005-0000-0000-00001E010000}"/>
    <cellStyle name="_Capex_Property Budget 2011" xfId="282" xr:uid="{00000000-0005-0000-0000-00001F010000}"/>
    <cellStyle name="_Capex_Property Budget 2011_Covenants_draft_260412" xfId="283" xr:uid="{00000000-0005-0000-0000-000020010000}"/>
    <cellStyle name="_Capex_Property Budget 2011_Marketing &amp; Product" xfId="284" xr:uid="{00000000-0005-0000-0000-000021010000}"/>
    <cellStyle name="_Capex_Sceanrio 2 Update - Dec 2nd" xfId="285" xr:uid="{00000000-0005-0000-0000-000022010000}"/>
    <cellStyle name="_Capex_Sceanrio 2 Update - Dec 2nd_Projections Pack" xfId="286" xr:uid="{00000000-0005-0000-0000-000023010000}"/>
    <cellStyle name="_Capex_Sceanrio 2 Update - Dec 2nd_Projections Pack (TM)" xfId="287" xr:uid="{00000000-0005-0000-0000-000024010000}"/>
    <cellStyle name="_Capex_Sceanrio 2 Update - Dec 2nd_Quasi Rent Illustration" xfId="288" xr:uid="{00000000-0005-0000-0000-000025010000}"/>
    <cellStyle name="_Capex_Sheet1" xfId="289" xr:uid="{00000000-0005-0000-0000-000026010000}"/>
    <cellStyle name="_Capex_YLC" xfId="290" xr:uid="{00000000-0005-0000-0000-000027010000}"/>
    <cellStyle name="_Causal" xfId="291" xr:uid="{00000000-0005-0000-0000-000028010000}"/>
    <cellStyle name="_Causal_Book2" xfId="292" xr:uid="{00000000-0005-0000-0000-000029010000}"/>
    <cellStyle name="_Causal_Covenants_draft_260412" xfId="293" xr:uid="{00000000-0005-0000-0000-00002A010000}"/>
    <cellStyle name="_Causal_Internal" xfId="294" xr:uid="{00000000-0005-0000-0000-00002B010000}"/>
    <cellStyle name="_Causal_Internal 1" xfId="295" xr:uid="{00000000-0005-0000-0000-00002C010000}"/>
    <cellStyle name="_Causal_Internal 1_Projections Pack" xfId="296" xr:uid="{00000000-0005-0000-0000-00002D010000}"/>
    <cellStyle name="_Causal_Internal 1_Projections Pack (TM)" xfId="297" xr:uid="{00000000-0005-0000-0000-00002E010000}"/>
    <cellStyle name="_Causal_Internal 1_Quasi Rent Illustration" xfId="298" xr:uid="{00000000-0005-0000-0000-00002F010000}"/>
    <cellStyle name="_Causal_Internal_Projections Pack" xfId="299" xr:uid="{00000000-0005-0000-0000-000030010000}"/>
    <cellStyle name="_Causal_Internal_Projections Pack (TM)" xfId="300" xr:uid="{00000000-0005-0000-0000-000031010000}"/>
    <cellStyle name="_Causal_Internal_Quasi Rent Illustration" xfId="301" xr:uid="{00000000-0005-0000-0000-000032010000}"/>
    <cellStyle name="_Causal_Marketing &amp; Product" xfId="302" xr:uid="{00000000-0005-0000-0000-000033010000}"/>
    <cellStyle name="_Causal_Net Gain Review Pack - 28th Sept" xfId="303" xr:uid="{00000000-0005-0000-0000-000034010000}"/>
    <cellStyle name="_Causal_PAR overlay" xfId="304" xr:uid="{00000000-0005-0000-0000-000035010000}"/>
    <cellStyle name="_Causal_PAR overlay_Projections Pack" xfId="305" xr:uid="{00000000-0005-0000-0000-000036010000}"/>
    <cellStyle name="_Causal_PAR overlay_Projections Pack (TM)" xfId="306" xr:uid="{00000000-0005-0000-0000-000037010000}"/>
    <cellStyle name="_Causal_PAR overlay_Quasi Rent Illustration" xfId="307" xr:uid="{00000000-0005-0000-0000-000038010000}"/>
    <cellStyle name="_Causal_Sceanrio 2 Update - Dec 2nd" xfId="308" xr:uid="{00000000-0005-0000-0000-000039010000}"/>
    <cellStyle name="_Causal_Sceanrio 2 Update - Dec 2nd_Projections Pack" xfId="309" xr:uid="{00000000-0005-0000-0000-00003A010000}"/>
    <cellStyle name="_Causal_Sceanrio 2 Update - Dec 2nd_Projections Pack (TM)" xfId="310" xr:uid="{00000000-0005-0000-0000-00003B010000}"/>
    <cellStyle name="_Causal_Sceanrio 2 Update - Dec 2nd_Quasi Rent Illustration" xfId="311" xr:uid="{00000000-0005-0000-0000-00003C010000}"/>
    <cellStyle name="_Causal_Sheet1" xfId="312" xr:uid="{00000000-0005-0000-0000-00003D010000}"/>
    <cellStyle name="_Causal_YLC" xfId="313" xr:uid="{00000000-0005-0000-0000-00003E010000}"/>
    <cellStyle name="_ClearFormat 4" xfId="314" xr:uid="{00000000-0005-0000-0000-00003F010000}"/>
    <cellStyle name="_Club summary_v06_140507" xfId="315" xr:uid="{00000000-0005-0000-0000-000040010000}"/>
    <cellStyle name="_Club summary_v06_140507_Book2" xfId="316" xr:uid="{00000000-0005-0000-0000-000041010000}"/>
    <cellStyle name="_Club summary_v06_140507_Covenants_draft_260412" xfId="317" xr:uid="{00000000-0005-0000-0000-000042010000}"/>
    <cellStyle name="_Club summary_v06_140507_DRAFT 11" xfId="318" xr:uid="{00000000-0005-0000-0000-000043010000}"/>
    <cellStyle name="_Club summary_v06_140507_DRAFT 11_Covenants_draft_260412" xfId="319" xr:uid="{00000000-0005-0000-0000-000044010000}"/>
    <cellStyle name="_Club summary_v06_140507_DRAFT 11_Marketing &amp; Product" xfId="320" xr:uid="{00000000-0005-0000-0000-000045010000}"/>
    <cellStyle name="_Club summary_v06_140507_Head Office Pack - Draft 1" xfId="321" xr:uid="{00000000-0005-0000-0000-000046010000}"/>
    <cellStyle name="_Club summary_v06_140507_Head Office Pack - Draft 4" xfId="322" xr:uid="{00000000-0005-0000-0000-000047010000}"/>
    <cellStyle name="_Club summary_v06_140507_Internal" xfId="323" xr:uid="{00000000-0005-0000-0000-000048010000}"/>
    <cellStyle name="_Club summary_v06_140507_Internal 1" xfId="324" xr:uid="{00000000-0005-0000-0000-000049010000}"/>
    <cellStyle name="_Club summary_v06_140507_Internal 1_Projections Pack" xfId="325" xr:uid="{00000000-0005-0000-0000-00004A010000}"/>
    <cellStyle name="_Club summary_v06_140507_Internal 1_Projections Pack (TM)" xfId="326" xr:uid="{00000000-0005-0000-0000-00004B010000}"/>
    <cellStyle name="_Club summary_v06_140507_Internal 1_Quasi Rent Illustration" xfId="327" xr:uid="{00000000-0005-0000-0000-00004C010000}"/>
    <cellStyle name="_Club summary_v06_140507_Internal_Projections Pack" xfId="328" xr:uid="{00000000-0005-0000-0000-00004D010000}"/>
    <cellStyle name="_Club summary_v06_140507_Internal_Projections Pack (TM)" xfId="329" xr:uid="{00000000-0005-0000-0000-00004E010000}"/>
    <cellStyle name="_Club summary_v06_140507_Internal_Quasi Rent Illustration" xfId="330" xr:uid="{00000000-0005-0000-0000-00004F010000}"/>
    <cellStyle name="_Club summary_v06_140507_IT Budget 2011" xfId="331" xr:uid="{00000000-0005-0000-0000-000050010000}"/>
    <cellStyle name="_Club summary_v06_140507_IT Budget Master 2011 - Draft V2 1 (2)" xfId="332" xr:uid="{00000000-0005-0000-0000-000051010000}"/>
    <cellStyle name="_Club summary_v06_140507_Net Gain Review Pack - 28th Sept" xfId="333" xr:uid="{00000000-0005-0000-0000-000052010000}"/>
    <cellStyle name="_Club summary_v06_140507_PAR overlay" xfId="334" xr:uid="{00000000-0005-0000-0000-000053010000}"/>
    <cellStyle name="_Club summary_v06_140507_PAR overlay_Projections Pack" xfId="335" xr:uid="{00000000-0005-0000-0000-000054010000}"/>
    <cellStyle name="_Club summary_v06_140507_PAR overlay_Projections Pack (TM)" xfId="336" xr:uid="{00000000-0005-0000-0000-000055010000}"/>
    <cellStyle name="_Club summary_v06_140507_PAR overlay_Quasi Rent Illustration" xfId="337" xr:uid="{00000000-0005-0000-0000-000056010000}"/>
    <cellStyle name="_Club summary_v06_140507_Property Budget 2011" xfId="338" xr:uid="{00000000-0005-0000-0000-000057010000}"/>
    <cellStyle name="_Club summary_v06_140507_Property Budget 2011_Covenants_draft_260412" xfId="339" xr:uid="{00000000-0005-0000-0000-000058010000}"/>
    <cellStyle name="_Club summary_v06_140507_Property Budget 2011_Marketing &amp; Product" xfId="340" xr:uid="{00000000-0005-0000-0000-000059010000}"/>
    <cellStyle name="_Club summary_v06_140507_Sceanrio 2 Update - Dec 2nd" xfId="341" xr:uid="{00000000-0005-0000-0000-00005A010000}"/>
    <cellStyle name="_Club summary_v06_140507_Sceanrio 2 Update - Dec 2nd_Projections Pack" xfId="342" xr:uid="{00000000-0005-0000-0000-00005B010000}"/>
    <cellStyle name="_Club summary_v06_140507_Sceanrio 2 Update - Dec 2nd_Projections Pack (TM)" xfId="343" xr:uid="{00000000-0005-0000-0000-00005C010000}"/>
    <cellStyle name="_Club summary_v06_140507_Sceanrio 2 Update - Dec 2nd_Quasi Rent Illustration" xfId="344" xr:uid="{00000000-0005-0000-0000-00005D010000}"/>
    <cellStyle name="_Club summary_v06_140507_Sheet1" xfId="345" xr:uid="{00000000-0005-0000-0000-00005E010000}"/>
    <cellStyle name="_Club summary_v06_140507_YLC" xfId="346" xr:uid="{00000000-0005-0000-0000-00005F010000}"/>
    <cellStyle name="_Column1" xfId="347" xr:uid="{00000000-0005-0000-0000-000060010000}"/>
    <cellStyle name="_Column1_Balance Sheet_restl. Eurowährungsl._Gruppe" xfId="348" xr:uid="{00000000-0005-0000-0000-000061010000}"/>
    <cellStyle name="_Column1_Bank case Viking (sent to JPM 10 Nov 05)" xfId="349" xr:uid="{00000000-0005-0000-0000-000062010000}"/>
    <cellStyle name="_Column1_Banks (2)" xfId="350" xr:uid="{00000000-0005-0000-0000-000063010000}"/>
    <cellStyle name="_Column1_Book2" xfId="351" xr:uid="{00000000-0005-0000-0000-000064010000}"/>
    <cellStyle name="_Column1_Covenants_draft_260412" xfId="352" xr:uid="{00000000-0005-0000-0000-000065010000}"/>
    <cellStyle name="_Column1_DRAFT 11" xfId="353" xr:uid="{00000000-0005-0000-0000-000066010000}"/>
    <cellStyle name="_Column1_DRAFT 11_Covenants_draft_260412" xfId="354" xr:uid="{00000000-0005-0000-0000-000067010000}"/>
    <cellStyle name="_Column1_DRAFT 11_Marketing &amp; Product" xfId="355" xr:uid="{00000000-0005-0000-0000-000068010000}"/>
    <cellStyle name="_Column1_EBITDA-Recon P&amp;L OPSP04-08_GX" xfId="356" xr:uid="{00000000-0005-0000-0000-000069010000}"/>
    <cellStyle name="_Column1_Feeder" xfId="357" xr:uid="{00000000-0005-0000-0000-00006A010000}"/>
    <cellStyle name="_Column1_Financial ratios_Euroland" xfId="358" xr:uid="{00000000-0005-0000-0000-00006B010000}"/>
    <cellStyle name="_Column1_GX evaluation without pensions" xfId="359" xr:uid="{00000000-0005-0000-0000-00006C010000}"/>
    <cellStyle name="_Column1_GX OPSP0509 incl. Zurückdrehen Subsidies NVM" xfId="360" xr:uid="{00000000-0005-0000-0000-00006D010000}"/>
    <cellStyle name="_Column1_GX Plan" xfId="361" xr:uid="{00000000-0005-0000-0000-00006E010000}"/>
    <cellStyle name="_Column1_Head Office Pack - Draft 1" xfId="362" xr:uid="{00000000-0005-0000-0000-00006F010000}"/>
    <cellStyle name="_Column1_Head Office Pack - Draft 4" xfId="363" xr:uid="{00000000-0005-0000-0000-000070010000}"/>
    <cellStyle name="_Column1_Headcount" xfId="364" xr:uid="{00000000-0005-0000-0000-000071010000}"/>
    <cellStyle name="_Column1_Headcount_Monthly report" xfId="365" xr:uid="{00000000-0005-0000-0000-000072010000}"/>
    <cellStyle name="_Column1_Internal" xfId="366" xr:uid="{00000000-0005-0000-0000-000073010000}"/>
    <cellStyle name="_Column1_Internal 1" xfId="367" xr:uid="{00000000-0005-0000-0000-000074010000}"/>
    <cellStyle name="_Column1_Internal 1_Projections Pack" xfId="368" xr:uid="{00000000-0005-0000-0000-000075010000}"/>
    <cellStyle name="_Column1_Internal 1_Projections Pack (TM)" xfId="369" xr:uid="{00000000-0005-0000-0000-000076010000}"/>
    <cellStyle name="_Column1_Internal 1_Quasi Rent Illustration" xfId="370" xr:uid="{00000000-0005-0000-0000-000077010000}"/>
    <cellStyle name="_Column1_Internal_Projections Pack" xfId="371" xr:uid="{00000000-0005-0000-0000-000078010000}"/>
    <cellStyle name="_Column1_Internal_Projections Pack (TM)" xfId="372" xr:uid="{00000000-0005-0000-0000-000079010000}"/>
    <cellStyle name="_Column1_Internal_Quasi Rent Illustration" xfId="373" xr:uid="{00000000-0005-0000-0000-00007A010000}"/>
    <cellStyle name="_Column1_IT Budget 2011" xfId="374" xr:uid="{00000000-0005-0000-0000-00007B010000}"/>
    <cellStyle name="_Column1_IT Budget Master 2011 - Draft V2 1 (2)" xfId="375" xr:uid="{00000000-0005-0000-0000-00007C010000}"/>
    <cellStyle name="_Column1_LTMJUN02" xfId="376" xr:uid="{00000000-0005-0000-0000-00007D010000}"/>
    <cellStyle name="_Column1_M&amp;A Model" xfId="377" xr:uid="{00000000-0005-0000-0000-00007E010000}"/>
    <cellStyle name="_Column1_M&amp;A projections" xfId="378" xr:uid="{00000000-0005-0000-0000-00007F010000}"/>
    <cellStyle name="_Column1_MIS Reporting_Budget_JD" xfId="379" xr:uid="{00000000-0005-0000-0000-000080010000}"/>
    <cellStyle name="_Column1_Net Gain Review Pack - 28th Sept" xfId="380" xr:uid="{00000000-0005-0000-0000-000081010000}"/>
    <cellStyle name="_Column1_New Gerresheimer bank plan (sent to JPM 26 Nov 05)" xfId="381" xr:uid="{00000000-0005-0000-0000-000082010000}"/>
    <cellStyle name="_Column1_P&amp;L bank model - received from Gerresheimer 1 12 05" xfId="382" xr:uid="{00000000-0005-0000-0000-000083010000}"/>
    <cellStyle name="_Column1_PAR overlay" xfId="383" xr:uid="{00000000-0005-0000-0000-000084010000}"/>
    <cellStyle name="_Column1_PAR overlay_Projections Pack" xfId="384" xr:uid="{00000000-0005-0000-0000-000085010000}"/>
    <cellStyle name="_Column1_PAR overlay_Projections Pack (TM)" xfId="385" xr:uid="{00000000-0005-0000-0000-000086010000}"/>
    <cellStyle name="_Column1_PAR overlay_Quasi Rent Illustration" xfId="386" xr:uid="{00000000-0005-0000-0000-000087010000}"/>
    <cellStyle name="_Column1_Plan model" xfId="387" xr:uid="{00000000-0005-0000-0000-000088010000}"/>
    <cellStyle name="_Column1_Property Budget 2011" xfId="388" xr:uid="{00000000-0005-0000-0000-000089010000}"/>
    <cellStyle name="_Column1_Property Budget 2011_Covenants_draft_260412" xfId="389" xr:uid="{00000000-0005-0000-0000-00008A010000}"/>
    <cellStyle name="_Column1_Property Budget 2011_Marketing &amp; Product" xfId="390" xr:uid="{00000000-0005-0000-0000-00008B010000}"/>
    <cellStyle name="_Column1_Quarterly" xfId="391" xr:uid="{00000000-0005-0000-0000-00008C010000}"/>
    <cellStyle name="_Column1_Sceanrio 2 Update - Dec 2nd" xfId="392" xr:uid="{00000000-0005-0000-0000-00008D010000}"/>
    <cellStyle name="_Column1_Sceanrio 2 Update - Dec 2nd_Projections Pack" xfId="393" xr:uid="{00000000-0005-0000-0000-00008E010000}"/>
    <cellStyle name="_Column1_Sceanrio 2 Update - Dec 2nd_Projections Pack (TM)" xfId="394" xr:uid="{00000000-0005-0000-0000-00008F010000}"/>
    <cellStyle name="_Column1_Sceanrio 2 Update - Dec 2nd_Quasi Rent Illustration" xfId="395" xr:uid="{00000000-0005-0000-0000-000090010000}"/>
    <cellStyle name="_Column1_Sheet1" xfId="396" xr:uid="{00000000-0005-0000-0000-000091010000}"/>
    <cellStyle name="_Column1_Tabelle1" xfId="397" xr:uid="{00000000-0005-0000-0000-000092010000}"/>
    <cellStyle name="_Column1_TSG2" xfId="398" xr:uid="{00000000-0005-0000-0000-000093010000}"/>
    <cellStyle name="_Column1_Update 2004 Figures v2 (sent to banks)" xfId="399" xr:uid="{00000000-0005-0000-0000-000094010000}"/>
    <cellStyle name="_Column1_WC benchmark Calc" xfId="400" xr:uid="{00000000-0005-0000-0000-000095010000}"/>
    <cellStyle name="_Column1_YLC" xfId="401" xr:uid="{00000000-0005-0000-0000-000096010000}"/>
    <cellStyle name="_Column1_Zins und Bankschuldenberechnung_03_07" xfId="402" xr:uid="{00000000-0005-0000-0000-000097010000}"/>
    <cellStyle name="_Column2" xfId="403" xr:uid="{00000000-0005-0000-0000-000098010000}"/>
    <cellStyle name="_Column2_051003 Viking Business plan" xfId="404" xr:uid="{00000000-0005-0000-0000-000099010000}"/>
    <cellStyle name="_Column2_051004 Viking Business plan10" xfId="405" xr:uid="{00000000-0005-0000-0000-00009A010000}"/>
    <cellStyle name="_Column2_Bank case Viking (sent to JPM 10 Nov 05)" xfId="406" xr:uid="{00000000-0005-0000-0000-00009B010000}"/>
    <cellStyle name="_Column2_Cost Price Assumptions OPSP0509 vs OPSP0610" xfId="407" xr:uid="{00000000-0005-0000-0000-00009C010000}"/>
    <cellStyle name="_Column2_Feeder" xfId="408" xr:uid="{00000000-0005-0000-0000-00009D010000}"/>
    <cellStyle name="_Column2_FY 2005-2009 OP-SP Update (11-Oct-04)" xfId="409" xr:uid="{00000000-0005-0000-0000-00009E010000}"/>
    <cellStyle name="_Column2_Key assumptions GX companies" xfId="410" xr:uid="{00000000-0005-0000-0000-00009F010000}"/>
    <cellStyle name="_Column2_M&amp;A Model" xfId="411" xr:uid="{00000000-0005-0000-0000-0000A0010000}"/>
    <cellStyle name="_Column2_M&amp;A projections" xfId="412" xr:uid="{00000000-0005-0000-0000-0000A1010000}"/>
    <cellStyle name="_Column2_Mappe2" xfId="413" xr:uid="{00000000-0005-0000-0000-0000A2010000}"/>
    <cellStyle name="_Column2_MIS Reporting_Budget_OPSP 06-10" xfId="414" xr:uid="{00000000-0005-0000-0000-0000A3010000}"/>
    <cellStyle name="_Column2_TSG2" xfId="415" xr:uid="{00000000-0005-0000-0000-0000A4010000}"/>
    <cellStyle name="_Column3" xfId="416" xr:uid="{00000000-0005-0000-0000-0000A5010000}"/>
    <cellStyle name="_Column3_051003 Viking Business plan" xfId="417" xr:uid="{00000000-0005-0000-0000-0000A6010000}"/>
    <cellStyle name="_Column3_051004 Viking Business plan10" xfId="418" xr:uid="{00000000-0005-0000-0000-0000A7010000}"/>
    <cellStyle name="_Column3_Bank case Viking (sent to JPM 10 Nov 05)" xfId="419" xr:uid="{00000000-0005-0000-0000-0000A8010000}"/>
    <cellStyle name="_Column3_Cost Price Assumptions OPSP0509 vs OPSP0610" xfId="420" xr:uid="{00000000-0005-0000-0000-0000A9010000}"/>
    <cellStyle name="_Column3_Feeder" xfId="421" xr:uid="{00000000-0005-0000-0000-0000AA010000}"/>
    <cellStyle name="_Column3_FY 2005-2009 OP-SP Update (11-Oct-04)" xfId="422" xr:uid="{00000000-0005-0000-0000-0000AB010000}"/>
    <cellStyle name="_Column3_Key assumptions GX companies" xfId="423" xr:uid="{00000000-0005-0000-0000-0000AC010000}"/>
    <cellStyle name="_Column3_M&amp;A Model" xfId="424" xr:uid="{00000000-0005-0000-0000-0000AD010000}"/>
    <cellStyle name="_Column3_M&amp;A projections" xfId="425" xr:uid="{00000000-0005-0000-0000-0000AE010000}"/>
    <cellStyle name="_Column3_Mappe2" xfId="426" xr:uid="{00000000-0005-0000-0000-0000AF010000}"/>
    <cellStyle name="_Column3_MIS Reporting_Budget_OPSP 06-10" xfId="427" xr:uid="{00000000-0005-0000-0000-0000B0010000}"/>
    <cellStyle name="_Column3_TSG2" xfId="428" xr:uid="{00000000-0005-0000-0000-0000B1010000}"/>
    <cellStyle name="_Column4" xfId="429" xr:uid="{00000000-0005-0000-0000-0000B2010000}"/>
    <cellStyle name="_Column4_051003 Viking Business plan" xfId="430" xr:uid="{00000000-0005-0000-0000-0000B3010000}"/>
    <cellStyle name="_Column4_051004 Viking Business plan10" xfId="431" xr:uid="{00000000-0005-0000-0000-0000B4010000}"/>
    <cellStyle name="_Column4_3.P&amp;L" xfId="432" xr:uid="{00000000-0005-0000-0000-0000B5010000}"/>
    <cellStyle name="_Column4_Balance Sheet_restl. Eurowährungsl._Gruppe" xfId="433" xr:uid="{00000000-0005-0000-0000-0000B6010000}"/>
    <cellStyle name="_Column4_Bank case Viking (sent to JPM 10 Nov 05)" xfId="434" xr:uid="{00000000-0005-0000-0000-0000B7010000}"/>
    <cellStyle name="_Column4_Book2" xfId="435" xr:uid="{00000000-0005-0000-0000-0000B8010000}"/>
    <cellStyle name="_Column4_Cost Price Assumptions OPSP0509 vs OPSP0610" xfId="436" xr:uid="{00000000-0005-0000-0000-0000B9010000}"/>
    <cellStyle name="_Column4_Covenants_draft_260412" xfId="437" xr:uid="{00000000-0005-0000-0000-0000BA010000}"/>
    <cellStyle name="_Column4_DRAFT 11" xfId="438" xr:uid="{00000000-0005-0000-0000-0000BB010000}"/>
    <cellStyle name="_Column4_DRAFT 11_Covenants_draft_260412" xfId="439" xr:uid="{00000000-0005-0000-0000-0000BC010000}"/>
    <cellStyle name="_Column4_DRAFT 11_Marketing &amp; Product" xfId="440" xr:uid="{00000000-0005-0000-0000-0000BD010000}"/>
    <cellStyle name="_Column4_Feeder" xfId="441" xr:uid="{00000000-0005-0000-0000-0000BE010000}"/>
    <cellStyle name="_Column4_FY 2005-2009 OP-SP Update (11-Oct-04)" xfId="442" xr:uid="{00000000-0005-0000-0000-0000BF010000}"/>
    <cellStyle name="_Column4_Head Office Pack - Draft 1" xfId="443" xr:uid="{00000000-0005-0000-0000-0000C0010000}"/>
    <cellStyle name="_Column4_Head Office Pack - Draft 4" xfId="444" xr:uid="{00000000-0005-0000-0000-0000C1010000}"/>
    <cellStyle name="_Column4_Key assumptions GX companies" xfId="445" xr:uid="{00000000-0005-0000-0000-0000C2010000}"/>
    <cellStyle name="_Column4_Konsolidierungsbeträge" xfId="446" xr:uid="{00000000-0005-0000-0000-0000C3010000}"/>
    <cellStyle name="_Column4_M&amp;A Model" xfId="447" xr:uid="{00000000-0005-0000-0000-0000C4010000}"/>
    <cellStyle name="_Column4_M&amp;A projections" xfId="448" xr:uid="{00000000-0005-0000-0000-0000C5010000}"/>
    <cellStyle name="_Column4_Mappe2" xfId="449" xr:uid="{00000000-0005-0000-0000-0000C6010000}"/>
    <cellStyle name="_Column4_MIS Reporting_Budget_OPSP 06-10" xfId="450" xr:uid="{00000000-0005-0000-0000-0000C7010000}"/>
    <cellStyle name="_Column4_PAR overlay" xfId="451" xr:uid="{00000000-0005-0000-0000-0000C8010000}"/>
    <cellStyle name="_Column4_PAR overlay_Projections Pack" xfId="452" xr:uid="{00000000-0005-0000-0000-0000C9010000}"/>
    <cellStyle name="_Column4_PAR overlay_Projections Pack (TM)" xfId="453" xr:uid="{00000000-0005-0000-0000-0000CA010000}"/>
    <cellStyle name="_Column4_PAR overlay_Quasi Rent Illustration" xfId="454" xr:uid="{00000000-0005-0000-0000-0000CB010000}"/>
    <cellStyle name="_Column4_Property Budget 2011" xfId="455" xr:uid="{00000000-0005-0000-0000-0000CC010000}"/>
    <cellStyle name="_Column4_Property Budget 2011_Covenants_draft_260412" xfId="456" xr:uid="{00000000-0005-0000-0000-0000CD010000}"/>
    <cellStyle name="_Column4_Property Budget 2011_Marketing &amp; Product" xfId="457" xr:uid="{00000000-0005-0000-0000-0000CE010000}"/>
    <cellStyle name="_Column4_Sheet1" xfId="458" xr:uid="{00000000-0005-0000-0000-0000CF010000}"/>
    <cellStyle name="_Column4_TSG2" xfId="459" xr:uid="{00000000-0005-0000-0000-0000D0010000}"/>
    <cellStyle name="_Column4_YLC" xfId="460" xr:uid="{00000000-0005-0000-0000-0000D1010000}"/>
    <cellStyle name="_Column5" xfId="461" xr:uid="{00000000-0005-0000-0000-0000D2010000}"/>
    <cellStyle name="_Column5_051003 Viking Business plan" xfId="462" xr:uid="{00000000-0005-0000-0000-0000D3010000}"/>
    <cellStyle name="_Column5_051004 Viking Business plan10" xfId="463" xr:uid="{00000000-0005-0000-0000-0000D4010000}"/>
    <cellStyle name="_Column5_Bank case Viking (sent to JPM 10 Nov 05)" xfId="464" xr:uid="{00000000-0005-0000-0000-0000D5010000}"/>
    <cellStyle name="_Column5_Cost Price Assumptions OPSP0509 vs OPSP0610" xfId="465" xr:uid="{00000000-0005-0000-0000-0000D6010000}"/>
    <cellStyle name="_Column5_Feeder" xfId="466" xr:uid="{00000000-0005-0000-0000-0000D7010000}"/>
    <cellStyle name="_Column5_FY 2005-2009 OP-SP Update (11-Oct-04)" xfId="467" xr:uid="{00000000-0005-0000-0000-0000D8010000}"/>
    <cellStyle name="_Column5_Key assumptions GX companies" xfId="468" xr:uid="{00000000-0005-0000-0000-0000D9010000}"/>
    <cellStyle name="_Column5_Konsolidierungsbeträge" xfId="469" xr:uid="{00000000-0005-0000-0000-0000DA010000}"/>
    <cellStyle name="_Column5_M&amp;A Model" xfId="470" xr:uid="{00000000-0005-0000-0000-0000DB010000}"/>
    <cellStyle name="_Column5_M&amp;A projections" xfId="471" xr:uid="{00000000-0005-0000-0000-0000DC010000}"/>
    <cellStyle name="_Column5_Mappe2" xfId="472" xr:uid="{00000000-0005-0000-0000-0000DD010000}"/>
    <cellStyle name="_Column5_MIS Reporting_Budget_OPSP 06-10" xfId="473" xr:uid="{00000000-0005-0000-0000-0000DE010000}"/>
    <cellStyle name="_Column5_TSG2" xfId="474" xr:uid="{00000000-0005-0000-0000-0000DF010000}"/>
    <cellStyle name="_Column6" xfId="475" xr:uid="{00000000-0005-0000-0000-0000E0010000}"/>
    <cellStyle name="_Column6_051003 Viking Business plan" xfId="476" xr:uid="{00000000-0005-0000-0000-0000E1010000}"/>
    <cellStyle name="_Column6_051004 Viking Business plan10" xfId="477" xr:uid="{00000000-0005-0000-0000-0000E2010000}"/>
    <cellStyle name="_Column6_Bank case Viking (sent to JPM 10 Nov 05)" xfId="478" xr:uid="{00000000-0005-0000-0000-0000E3010000}"/>
    <cellStyle name="_Column6_Cost Price Assumptions OPSP0509 vs OPSP0610" xfId="479" xr:uid="{00000000-0005-0000-0000-0000E4010000}"/>
    <cellStyle name="_Column6_Feeder" xfId="480" xr:uid="{00000000-0005-0000-0000-0000E5010000}"/>
    <cellStyle name="_Column6_FY 2005-2009 OP-SP Update (11-Oct-04)" xfId="481" xr:uid="{00000000-0005-0000-0000-0000E6010000}"/>
    <cellStyle name="_Column6_Key assumptions GX companies" xfId="482" xr:uid="{00000000-0005-0000-0000-0000E7010000}"/>
    <cellStyle name="_Column6_M&amp;A Model" xfId="483" xr:uid="{00000000-0005-0000-0000-0000E8010000}"/>
    <cellStyle name="_Column6_M&amp;A projections" xfId="484" xr:uid="{00000000-0005-0000-0000-0000E9010000}"/>
    <cellStyle name="_Column6_Mappe2" xfId="485" xr:uid="{00000000-0005-0000-0000-0000EA010000}"/>
    <cellStyle name="_Column6_MIS Reporting_Budget_OPSP 06-10" xfId="486" xr:uid="{00000000-0005-0000-0000-0000EB010000}"/>
    <cellStyle name="_Column6_TSG2" xfId="487" xr:uid="{00000000-0005-0000-0000-0000EC010000}"/>
    <cellStyle name="_Column7" xfId="488" xr:uid="{00000000-0005-0000-0000-0000ED010000}"/>
    <cellStyle name="_Column7_051003 Viking Business plan" xfId="489" xr:uid="{00000000-0005-0000-0000-0000EE010000}"/>
    <cellStyle name="_Column7_051004 Viking Business plan10" xfId="490" xr:uid="{00000000-0005-0000-0000-0000EF010000}"/>
    <cellStyle name="_Column7_3. Version 4 Bank" xfId="491" xr:uid="{00000000-0005-0000-0000-0000F0010000}"/>
    <cellStyle name="_Column7_3. Version 4 Bank new segments" xfId="492" xr:uid="{00000000-0005-0000-0000-0000F1010000}"/>
    <cellStyle name="_Column7_4. Version 4 Bank new segments with rollout" xfId="493" xr:uid="{00000000-0005-0000-0000-0000F2010000}"/>
    <cellStyle name="_Column7_4. Version 4 Bank with Rollout" xfId="494" xr:uid="{00000000-0005-0000-0000-0000F3010000}"/>
    <cellStyle name="_Column7_Balance Sheet_restl. Eurowährungsl._Gruppe" xfId="495" xr:uid="{00000000-0005-0000-0000-0000F4010000}"/>
    <cellStyle name="_Column7_Bank case Viking (sent to JPM 10 Nov 05)" xfId="496" xr:uid="{00000000-0005-0000-0000-0000F5010000}"/>
    <cellStyle name="_Column7_Cost Price Assumptions OPSP0509 vs OPSP0610" xfId="497" xr:uid="{00000000-0005-0000-0000-0000F6010000}"/>
    <cellStyle name="_Column7_Feeder" xfId="498" xr:uid="{00000000-0005-0000-0000-0000F7010000}"/>
    <cellStyle name="_Column7_FY 2005-2009 OP-SP Update (11-Oct-04)" xfId="499" xr:uid="{00000000-0005-0000-0000-0000F8010000}"/>
    <cellStyle name="_Column7_Key assumptions GX companies" xfId="500" xr:uid="{00000000-0005-0000-0000-0000F9010000}"/>
    <cellStyle name="_Column7_M&amp;A Model" xfId="501" xr:uid="{00000000-0005-0000-0000-0000FA010000}"/>
    <cellStyle name="_Column7_M&amp;A projections" xfId="502" xr:uid="{00000000-0005-0000-0000-0000FB010000}"/>
    <cellStyle name="_Column7_Mappe2" xfId="503" xr:uid="{00000000-0005-0000-0000-0000FC010000}"/>
    <cellStyle name="_Column7_MIS Reporting_Budget_OPSP 06-10" xfId="504" xr:uid="{00000000-0005-0000-0000-0000FD010000}"/>
    <cellStyle name="_Column7_PAR overlay" xfId="505" xr:uid="{00000000-0005-0000-0000-0000FE010000}"/>
    <cellStyle name="_Column7_TSG2" xfId="506" xr:uid="{00000000-0005-0000-0000-0000FF010000}"/>
    <cellStyle name="_Column7_UBS Model" xfId="507" xr:uid="{00000000-0005-0000-0000-000000020000}"/>
    <cellStyle name="_Column7_UBS Model - upside model" xfId="508" xr:uid="{00000000-0005-0000-0000-000001020000}"/>
    <cellStyle name="_Column8" xfId="509" xr:uid="{00000000-0005-0000-0000-000002020000}"/>
    <cellStyle name="_Column8_021202External Sales 2000_2001_DA_feste Werte" xfId="510" xr:uid="{00000000-0005-0000-0000-000003020000}"/>
    <cellStyle name="_Column8_Balance Sheet_restl. Eurowährungsl._Gruppe" xfId="511" xr:uid="{00000000-0005-0000-0000-000004020000}"/>
    <cellStyle name="_Column8_Konsolidierungsbeträge" xfId="512" xr:uid="{00000000-0005-0000-0000-000005020000}"/>
    <cellStyle name="_Comma" xfId="513" xr:uid="{00000000-0005-0000-0000-000006020000}"/>
    <cellStyle name="_Comma 2 3" xfId="514" xr:uid="{00000000-0005-0000-0000-000007020000}"/>
    <cellStyle name="_Comma_Betas" xfId="515" xr:uid="{00000000-0005-0000-0000-000008020000}"/>
    <cellStyle name="_Comma_Betas as of 18-Apr-20022" xfId="516" xr:uid="{00000000-0005-0000-0000-000009020000}"/>
    <cellStyle name="_Comma_Draft funds flow - 7 June 2005" xfId="517" xr:uid="{00000000-0005-0000-0000-00000A020000}"/>
    <cellStyle name="_Comma_EXPN" xfId="518" xr:uid="{00000000-0005-0000-0000-00000B020000}"/>
    <cellStyle name="_Comma_MD 1 model_blank_Augustin" xfId="519" xr:uid="{00000000-0005-0000-0000-00000C020000}"/>
    <cellStyle name="_Comma_Offering Breakdown - 09-Jun -2005" xfId="520" xr:uid="{00000000-0005-0000-0000-00000D020000}"/>
    <cellStyle name="_Comma_Offering Breakdown - 09-Jun -2005 updated" xfId="521" xr:uid="{00000000-0005-0000-0000-00000E020000}"/>
    <cellStyle name="_Comma_Offering Breakdown - 19-Jun -2005 updated" xfId="522" xr:uid="{00000000-0005-0000-0000-00000F020000}"/>
    <cellStyle name="_Crown Holdings  - LBO Model 1.8 covenants_3 Aug" xfId="523" xr:uid="{00000000-0005-0000-0000-000010020000}"/>
    <cellStyle name="_Currency" xfId="524" xr:uid="{00000000-0005-0000-0000-000011020000}"/>
    <cellStyle name="_Currency 4" xfId="525" xr:uid="{00000000-0005-0000-0000-000012020000}"/>
    <cellStyle name="_Currency_Betas" xfId="526" xr:uid="{00000000-0005-0000-0000-000013020000}"/>
    <cellStyle name="_Currency_Betas as of 18-Apr-20022" xfId="527" xr:uid="{00000000-0005-0000-0000-000014020000}"/>
    <cellStyle name="_Currency_Draft funds flow - 7 June 2005" xfId="528" xr:uid="{00000000-0005-0000-0000-000015020000}"/>
    <cellStyle name="_Currency_EXPN" xfId="529" xr:uid="{00000000-0005-0000-0000-000016020000}"/>
    <cellStyle name="_Currency_MD 1 model_blank_Augustin" xfId="530" xr:uid="{00000000-0005-0000-0000-000017020000}"/>
    <cellStyle name="_Currency_Offering Breakdown - 09-Jun -2005" xfId="531" xr:uid="{00000000-0005-0000-0000-000018020000}"/>
    <cellStyle name="_Currency_Offering Breakdown - 09-Jun -2005 updated" xfId="532" xr:uid="{00000000-0005-0000-0000-000019020000}"/>
    <cellStyle name="_Currency_Offering Breakdown - 19-Jun -2005 updated" xfId="533" xr:uid="{00000000-0005-0000-0000-00001A020000}"/>
    <cellStyle name="_Currency_pi5" xfId="534" xr:uid="{00000000-0005-0000-0000-00001B020000}"/>
    <cellStyle name="_Currency_surbid4 cloture" xfId="535" xr:uid="{00000000-0005-0000-0000-00001C020000}"/>
    <cellStyle name="_Currency_surbid4 cloture_1" xfId="536" xr:uid="{00000000-0005-0000-0000-00001D020000}"/>
    <cellStyle name="_Currency_temp templates2" xfId="537" xr:uid="{00000000-0005-0000-0000-00001E020000}"/>
    <cellStyle name="_Currency_tropicos5" xfId="538" xr:uid="{00000000-0005-0000-0000-00001F020000}"/>
    <cellStyle name="_Currency_tropicos5_victoria 6nov01" xfId="539" xr:uid="{00000000-0005-0000-0000-000020020000}"/>
    <cellStyle name="_Currency_voice1.xls Chart 1" xfId="540" xr:uid="{00000000-0005-0000-0000-000021020000}"/>
    <cellStyle name="_Currency_voice1.xls Chart 1_victoria 6nov01" xfId="541" xr:uid="{00000000-0005-0000-0000-000022020000}"/>
    <cellStyle name="_Currency_wacc" xfId="542" xr:uid="{00000000-0005-0000-0000-000023020000}"/>
    <cellStyle name="_Currency_wacc bb final" xfId="543" xr:uid="{00000000-0005-0000-0000-000024020000}"/>
    <cellStyle name="_CurrencySpace" xfId="544" xr:uid="{00000000-0005-0000-0000-000025020000}"/>
    <cellStyle name="_CurrencySpace_Betas" xfId="545" xr:uid="{00000000-0005-0000-0000-000026020000}"/>
    <cellStyle name="_CurrencySpace_Betas as of 18-Apr-20022" xfId="546" xr:uid="{00000000-0005-0000-0000-000027020000}"/>
    <cellStyle name="_CurrencySpace_Draft funds flow - 7 June 2005" xfId="547" xr:uid="{00000000-0005-0000-0000-000028020000}"/>
    <cellStyle name="_CurrencySpace_EXPN" xfId="548" xr:uid="{00000000-0005-0000-0000-000029020000}"/>
    <cellStyle name="_CurrencySpace_MD 1 model_blank_Augustin" xfId="549" xr:uid="{00000000-0005-0000-0000-00002A020000}"/>
    <cellStyle name="_CurrencySpace_Offering Breakdown - 09-Jun -2005" xfId="550" xr:uid="{00000000-0005-0000-0000-00002B020000}"/>
    <cellStyle name="_CurrencySpace_Offering Breakdown - 09-Jun -2005 updated" xfId="551" xr:uid="{00000000-0005-0000-0000-00002C020000}"/>
    <cellStyle name="_CurrencySpace_Offering Breakdown - 19-Jun -2005 updated" xfId="552" xr:uid="{00000000-0005-0000-0000-00002D020000}"/>
    <cellStyle name="_CurrencySpace_sonera - 26july2001" xfId="553" xr:uid="{00000000-0005-0000-0000-00002E020000}"/>
    <cellStyle name="_CurrencySpace_Sonera - april01" xfId="554" xr:uid="{00000000-0005-0000-0000-00002F020000}"/>
    <cellStyle name="_CurrencySpace_stahl_dcf+lbo_FINAL MODEL USED FOR FAIRNESS MEETING 5 Dec 2001" xfId="555" xr:uid="{00000000-0005-0000-0000-000030020000}"/>
    <cellStyle name="_CurrencySpace_stahl_dcf+lbo_revised fins" xfId="556" xr:uid="{00000000-0005-0000-0000-000031020000}"/>
    <cellStyle name="_CurrencySpace_VMS Breakdown" xfId="557" xr:uid="{00000000-0005-0000-0000-000032020000}"/>
    <cellStyle name="_CurrencySpace_WACC Page" xfId="558" xr:uid="{00000000-0005-0000-0000-000033020000}"/>
    <cellStyle name="_CurrencySpace_Wacc V2" xfId="559" xr:uid="{00000000-0005-0000-0000-000034020000}"/>
    <cellStyle name="_Data" xfId="560" xr:uid="{00000000-0005-0000-0000-000035020000}"/>
    <cellStyle name="_Data_Aurora LBO v25" xfId="561" xr:uid="{00000000-0005-0000-0000-000036020000}"/>
    <cellStyle name="_Data_Balance Sheet_restl. Eurowährungsl._Gruppe" xfId="562" xr:uid="{00000000-0005-0000-0000-000037020000}"/>
    <cellStyle name="_Data_Bank case Viking (sent to JPM 10 Nov 05)" xfId="563" xr:uid="{00000000-0005-0000-0000-000038020000}"/>
    <cellStyle name="_Data_Banks (2)" xfId="564" xr:uid="{00000000-0005-0000-0000-000039020000}"/>
    <cellStyle name="_Data_EBITDA-Recon P&amp;L OPSP04-08_GX" xfId="565" xr:uid="{00000000-0005-0000-0000-00003A020000}"/>
    <cellStyle name="_Data_Feeder" xfId="566" xr:uid="{00000000-0005-0000-0000-00003B020000}"/>
    <cellStyle name="_Data_Financial ratios_Euroland" xfId="567" xr:uid="{00000000-0005-0000-0000-00003C020000}"/>
    <cellStyle name="_Data_GX evaluation without pensions" xfId="568" xr:uid="{00000000-0005-0000-0000-00003D020000}"/>
    <cellStyle name="_Data_GX OPSP0509 incl. Zurückdrehen Subsidies NVM" xfId="569" xr:uid="{00000000-0005-0000-0000-00003E020000}"/>
    <cellStyle name="_Data_GX Plan" xfId="570" xr:uid="{00000000-0005-0000-0000-00003F020000}"/>
    <cellStyle name="_Data_Headcount" xfId="571" xr:uid="{00000000-0005-0000-0000-000040020000}"/>
    <cellStyle name="_Data_Headcount_Monthly report" xfId="572" xr:uid="{00000000-0005-0000-0000-000041020000}"/>
    <cellStyle name="_Data_LTMJUN02" xfId="573" xr:uid="{00000000-0005-0000-0000-000042020000}"/>
    <cellStyle name="_Data_M&amp;A Model" xfId="574" xr:uid="{00000000-0005-0000-0000-000043020000}"/>
    <cellStyle name="_Data_M&amp;A projections" xfId="575" xr:uid="{00000000-0005-0000-0000-000044020000}"/>
    <cellStyle name="_Data_MIS Reporting_Budget_JD" xfId="576" xr:uid="{00000000-0005-0000-0000-000045020000}"/>
    <cellStyle name="_Data_New Gerresheimer bank plan (sent to JPM 26 Nov 05)" xfId="577" xr:uid="{00000000-0005-0000-0000-000046020000}"/>
    <cellStyle name="_Data_P&amp;L bank model - received from Gerresheimer 1 12 05" xfId="578" xr:uid="{00000000-0005-0000-0000-000047020000}"/>
    <cellStyle name="_Data_Plan model" xfId="579" xr:uid="{00000000-0005-0000-0000-000048020000}"/>
    <cellStyle name="_Data_Quarterly" xfId="580" xr:uid="{00000000-0005-0000-0000-000049020000}"/>
    <cellStyle name="_Data_Tabelle1" xfId="581" xr:uid="{00000000-0005-0000-0000-00004A020000}"/>
    <cellStyle name="_Data_TSG2" xfId="582" xr:uid="{00000000-0005-0000-0000-00004B020000}"/>
    <cellStyle name="_Data_Update 2004 Figures v2 (sent to banks)" xfId="583" xr:uid="{00000000-0005-0000-0000-00004C020000}"/>
    <cellStyle name="_Data_WC benchmark Calc" xfId="584" xr:uid="{00000000-0005-0000-0000-00004D020000}"/>
    <cellStyle name="_Data_Zins und Bankschuldenberechnung_03_07" xfId="585" xr:uid="{00000000-0005-0000-0000-00004E020000}"/>
    <cellStyle name="_Dec Exec Pack" xfId="586" xr:uid="{00000000-0005-0000-0000-00004F020000}"/>
    <cellStyle name="_Dec Exec Pack_Covenants_draft_260412" xfId="587" xr:uid="{00000000-0005-0000-0000-000050020000}"/>
    <cellStyle name="_Dec Exec Pack_Head Office Pack - Draft 1" xfId="588" xr:uid="{00000000-0005-0000-0000-000051020000}"/>
    <cellStyle name="_Dec Exec Pack_Head Office Pack - Draft 4" xfId="589" xr:uid="{00000000-0005-0000-0000-000052020000}"/>
    <cellStyle name="_Dec Exec Pack_Property Budget 2011" xfId="590" xr:uid="{00000000-0005-0000-0000-000053020000}"/>
    <cellStyle name="_Dec Exec Pack_Property Budget 2011_Covenants_draft_260412" xfId="591" xr:uid="{00000000-0005-0000-0000-000054020000}"/>
    <cellStyle name="_Dec Exec Pack_Property Budget 2011_Marketing &amp; Product" xfId="592" xr:uid="{00000000-0005-0000-0000-000055020000}"/>
    <cellStyle name="_Dec Exec Pack_Sheet1" xfId="593" xr:uid="{00000000-0005-0000-0000-000056020000}"/>
    <cellStyle name="_Detailed Analysis" xfId="594" xr:uid="{00000000-0005-0000-0000-000057020000}"/>
    <cellStyle name="_Detailed P&amp;L's" xfId="595" xr:uid="{00000000-0005-0000-0000-000058020000}"/>
    <cellStyle name="_Dollar" xfId="596" xr:uid="{00000000-0005-0000-0000-000059020000}"/>
    <cellStyle name="_Dollar_AVP Lucia excl. Assoc" xfId="597" xr:uid="{00000000-0005-0000-0000-00005A020000}"/>
    <cellStyle name="_Dollar_Benchmarking analysis" xfId="598" xr:uid="{00000000-0005-0000-0000-00005B020000}"/>
    <cellStyle name="_Dollar_Clementine revenue model-v10" xfId="599" xr:uid="{00000000-0005-0000-0000-00005C020000}"/>
    <cellStyle name="_Dollar_Clementine revenue model-v5" xfId="600" xr:uid="{00000000-0005-0000-0000-00005D020000}"/>
    <cellStyle name="_Dollar_liberate fact sheet" xfId="601" xr:uid="{00000000-0005-0000-0000-00005E020000}"/>
    <cellStyle name="_Dollar_New Sonera 4" xfId="602" xr:uid="{00000000-0005-0000-0000-00005F020000}"/>
    <cellStyle name="_Dollar_Pro-forma financials &amp; merger plan - 5 march 02" xfId="603" xr:uid="{00000000-0005-0000-0000-000060020000}"/>
    <cellStyle name="_Dollar_sonera - 26july2001" xfId="604" xr:uid="{00000000-0005-0000-0000-000061020000}"/>
    <cellStyle name="_Dollar_Sonera - april01" xfId="605" xr:uid="{00000000-0005-0000-0000-000062020000}"/>
    <cellStyle name="_Dollar_T_MOBIL2" xfId="606" xr:uid="{00000000-0005-0000-0000-000063020000}"/>
    <cellStyle name="_Dollar_Turkcell6" xfId="607" xr:uid="{00000000-0005-0000-0000-000064020000}"/>
    <cellStyle name="_Dollar_Value Creation Analysis" xfId="608" xr:uid="{00000000-0005-0000-0000-000065020000}"/>
    <cellStyle name="_Dollar_Versatel1" xfId="609" xr:uid="{00000000-0005-0000-0000-000066020000}"/>
    <cellStyle name="_Draft 1 - 26th November" xfId="610" xr:uid="{00000000-0005-0000-0000-000067020000}"/>
    <cellStyle name="_Draft 1 - 29th September rv" xfId="611" xr:uid="{00000000-0005-0000-0000-000068020000}"/>
    <cellStyle name="_Entry Point" xfId="613" xr:uid="{00000000-0005-0000-0000-00006A020000}"/>
    <cellStyle name="_e-plus debt - Machado1" xfId="612" xr:uid="{00000000-0005-0000-0000-000069020000}"/>
    <cellStyle name="_Euro" xfId="614" xr:uid="{00000000-0005-0000-0000-00006B020000}"/>
    <cellStyle name="_Euro Pack" xfId="615" xr:uid="{00000000-0005-0000-0000-00006C020000}"/>
    <cellStyle name="_Euro Pack_Covenants_draft_260412" xfId="616" xr:uid="{00000000-0005-0000-0000-00006D020000}"/>
    <cellStyle name="_Euro Pack_Head Office Pack - Draft 1" xfId="617" xr:uid="{00000000-0005-0000-0000-00006E020000}"/>
    <cellStyle name="_Euro Pack_Head Office Pack - Draft 4" xfId="618" xr:uid="{00000000-0005-0000-0000-00006F020000}"/>
    <cellStyle name="_Euro Pack_Property Budget 2011" xfId="619" xr:uid="{00000000-0005-0000-0000-000070020000}"/>
    <cellStyle name="_Euro Pack_Property Budget 2011_Covenants_draft_260412" xfId="620" xr:uid="{00000000-0005-0000-0000-000071020000}"/>
    <cellStyle name="_Euro Pack_Property Budget 2011_Marketing &amp; Product" xfId="621" xr:uid="{00000000-0005-0000-0000-000072020000}"/>
    <cellStyle name="_Euro Pack_Sheet1" xfId="622" xr:uid="{00000000-0005-0000-0000-000073020000}"/>
    <cellStyle name="_Euro_01research_benchmark" xfId="623" xr:uid="{00000000-0005-0000-0000-000074020000}"/>
    <cellStyle name="_Euro_02 CSC Thomson - 26 may" xfId="624" xr:uid="{00000000-0005-0000-0000-000075020000}"/>
    <cellStyle name="_Euro_03 CSC 28-Oct-02" xfId="625" xr:uid="{00000000-0005-0000-0000-000076020000}"/>
    <cellStyle name="_Euro_CSC July 24" xfId="626" xr:uid="{00000000-0005-0000-0000-000077020000}"/>
    <cellStyle name="_Euro_EXPN" xfId="627" xr:uid="{00000000-0005-0000-0000-000078020000}"/>
    <cellStyle name="_Euro_Wacc V2" xfId="628" xr:uid="{00000000-0005-0000-0000-000079020000}"/>
    <cellStyle name="_Europe RD Pack P3" xfId="629" xr:uid="{00000000-0005-0000-0000-00007A020000}"/>
    <cellStyle name="_Exec Overview" xfId="630" xr:uid="{00000000-0005-0000-0000-00007B020000}"/>
    <cellStyle name="_Exec Overview_Book2" xfId="631" xr:uid="{00000000-0005-0000-0000-00007C020000}"/>
    <cellStyle name="_Exec Overview_Covenants_draft_260412" xfId="632" xr:uid="{00000000-0005-0000-0000-00007D020000}"/>
    <cellStyle name="_Exec Overview_Internal" xfId="633" xr:uid="{00000000-0005-0000-0000-00007E020000}"/>
    <cellStyle name="_Exec Overview_Internal 1" xfId="634" xr:uid="{00000000-0005-0000-0000-00007F020000}"/>
    <cellStyle name="_Exec Overview_Internal 1_Projections Pack" xfId="635" xr:uid="{00000000-0005-0000-0000-000080020000}"/>
    <cellStyle name="_Exec Overview_Internal 1_Projections Pack (TM)" xfId="636" xr:uid="{00000000-0005-0000-0000-000081020000}"/>
    <cellStyle name="_Exec Overview_Internal 1_Quasi Rent Illustration" xfId="637" xr:uid="{00000000-0005-0000-0000-000082020000}"/>
    <cellStyle name="_Exec Overview_Internal_Projections Pack" xfId="638" xr:uid="{00000000-0005-0000-0000-000083020000}"/>
    <cellStyle name="_Exec Overview_Internal_Projections Pack (TM)" xfId="639" xr:uid="{00000000-0005-0000-0000-000084020000}"/>
    <cellStyle name="_Exec Overview_Internal_Quasi Rent Illustration" xfId="640" xr:uid="{00000000-0005-0000-0000-000085020000}"/>
    <cellStyle name="_Exec Overview_Marketing &amp; Product" xfId="641" xr:uid="{00000000-0005-0000-0000-000086020000}"/>
    <cellStyle name="_Exec Overview_Net Gain Review Pack - 28th Sept" xfId="642" xr:uid="{00000000-0005-0000-0000-000087020000}"/>
    <cellStyle name="_Exec Overview_PAR overlay" xfId="643" xr:uid="{00000000-0005-0000-0000-000088020000}"/>
    <cellStyle name="_Exec Overview_PAR overlay_Projections Pack" xfId="644" xr:uid="{00000000-0005-0000-0000-000089020000}"/>
    <cellStyle name="_Exec Overview_PAR overlay_Projections Pack (TM)" xfId="645" xr:uid="{00000000-0005-0000-0000-00008A020000}"/>
    <cellStyle name="_Exec Overview_PAR overlay_Quasi Rent Illustration" xfId="646" xr:uid="{00000000-0005-0000-0000-00008B020000}"/>
    <cellStyle name="_Exec Overview_Sceanrio 2 Update - Dec 2nd" xfId="647" xr:uid="{00000000-0005-0000-0000-00008C020000}"/>
    <cellStyle name="_Exec Overview_Sceanrio 2 Update - Dec 2nd_Projections Pack" xfId="648" xr:uid="{00000000-0005-0000-0000-00008D020000}"/>
    <cellStyle name="_Exec Overview_Sceanrio 2 Update - Dec 2nd_Projections Pack (TM)" xfId="649" xr:uid="{00000000-0005-0000-0000-00008E020000}"/>
    <cellStyle name="_Exec Overview_Sceanrio 2 Update - Dec 2nd_Quasi Rent Illustration" xfId="650" xr:uid="{00000000-0005-0000-0000-00008F020000}"/>
    <cellStyle name="_Exec Overview_Sheet1" xfId="651" xr:uid="{00000000-0005-0000-0000-000090020000}"/>
    <cellStyle name="_Exec Overview_YLC" xfId="652" xr:uid="{00000000-0005-0000-0000-000091020000}"/>
    <cellStyle name="_Exec pack post Jason Smith Changes" xfId="653" xr:uid="{00000000-0005-0000-0000-000092020000}"/>
    <cellStyle name="_Exec pack post Jason Smith Changes_Covenants_draft_260412" xfId="654" xr:uid="{00000000-0005-0000-0000-000093020000}"/>
    <cellStyle name="_Exec pack post Jason Smith Changes_Head Office Pack - Draft 1" xfId="655" xr:uid="{00000000-0005-0000-0000-000094020000}"/>
    <cellStyle name="_Exec pack post Jason Smith Changes_Head Office Pack - Draft 4" xfId="656" xr:uid="{00000000-0005-0000-0000-000095020000}"/>
    <cellStyle name="_Exec pack post Jason Smith Changes_Property Budget 2011" xfId="657" xr:uid="{00000000-0005-0000-0000-000096020000}"/>
    <cellStyle name="_Exec pack post Jason Smith Changes_Property Budget 2011_Covenants_draft_260412" xfId="658" xr:uid="{00000000-0005-0000-0000-000097020000}"/>
    <cellStyle name="_Exec pack post Jason Smith Changes_Property Budget 2011_Marketing &amp; Product" xfId="659" xr:uid="{00000000-0005-0000-0000-000098020000}"/>
    <cellStyle name="_Exec pack post Jason Smith Changes_Sheet1" xfId="660" xr:uid="{00000000-0005-0000-0000-000099020000}"/>
    <cellStyle name="_Exec Performance Pack" xfId="661" xr:uid="{00000000-0005-0000-0000-00009A020000}"/>
    <cellStyle name="_EXPN" xfId="662" xr:uid="{00000000-0005-0000-0000-00009B020000}"/>
    <cellStyle name="_final pricing DLLNG Dec 14 2007" xfId="663" xr:uid="{00000000-0005-0000-0000-00009C020000}"/>
    <cellStyle name="_FINAL RISKS AND OPS" xfId="664" xr:uid="{00000000-0005-0000-0000-00009D020000}"/>
    <cellStyle name="_FINAL RISKS AND OPS_Book2" xfId="665" xr:uid="{00000000-0005-0000-0000-00009E020000}"/>
    <cellStyle name="_FINAL RISKS AND OPS_Covenants_draft_260412" xfId="666" xr:uid="{00000000-0005-0000-0000-00009F020000}"/>
    <cellStyle name="_FINAL RISKS AND OPS_Internal" xfId="667" xr:uid="{00000000-0005-0000-0000-0000A0020000}"/>
    <cellStyle name="_FINAL RISKS AND OPS_Internal 1" xfId="668" xr:uid="{00000000-0005-0000-0000-0000A1020000}"/>
    <cellStyle name="_FINAL RISKS AND OPS_Internal 1_Projections Pack" xfId="669" xr:uid="{00000000-0005-0000-0000-0000A2020000}"/>
    <cellStyle name="_FINAL RISKS AND OPS_Internal 1_Projections Pack (TM)" xfId="670" xr:uid="{00000000-0005-0000-0000-0000A3020000}"/>
    <cellStyle name="_FINAL RISKS AND OPS_Internal 1_Quasi Rent Illustration" xfId="671" xr:uid="{00000000-0005-0000-0000-0000A4020000}"/>
    <cellStyle name="_FINAL RISKS AND OPS_Internal_Projections Pack" xfId="672" xr:uid="{00000000-0005-0000-0000-0000A5020000}"/>
    <cellStyle name="_FINAL RISKS AND OPS_Internal_Projections Pack (TM)" xfId="673" xr:uid="{00000000-0005-0000-0000-0000A6020000}"/>
    <cellStyle name="_FINAL RISKS AND OPS_Internal_Quasi Rent Illustration" xfId="674" xr:uid="{00000000-0005-0000-0000-0000A7020000}"/>
    <cellStyle name="_FINAL RISKS AND OPS_Marketing &amp; Product" xfId="675" xr:uid="{00000000-0005-0000-0000-0000A8020000}"/>
    <cellStyle name="_FINAL RISKS AND OPS_Net Gain Review Pack - 28th Sept" xfId="676" xr:uid="{00000000-0005-0000-0000-0000A9020000}"/>
    <cellStyle name="_FINAL RISKS AND OPS_PAR overlay" xfId="677" xr:uid="{00000000-0005-0000-0000-0000AA020000}"/>
    <cellStyle name="_FINAL RISKS AND OPS_PAR overlay_Projections Pack" xfId="678" xr:uid="{00000000-0005-0000-0000-0000AB020000}"/>
    <cellStyle name="_FINAL RISKS AND OPS_PAR overlay_Projections Pack (TM)" xfId="679" xr:uid="{00000000-0005-0000-0000-0000AC020000}"/>
    <cellStyle name="_FINAL RISKS AND OPS_PAR overlay_Quasi Rent Illustration" xfId="680" xr:uid="{00000000-0005-0000-0000-0000AD020000}"/>
    <cellStyle name="_FINAL RISKS AND OPS_Sceanrio 2 Update - Dec 2nd" xfId="681" xr:uid="{00000000-0005-0000-0000-0000AE020000}"/>
    <cellStyle name="_FINAL RISKS AND OPS_Sceanrio 2 Update - Dec 2nd_Projections Pack" xfId="682" xr:uid="{00000000-0005-0000-0000-0000AF020000}"/>
    <cellStyle name="_FINAL RISKS AND OPS_Sceanrio 2 Update - Dec 2nd_Projections Pack (TM)" xfId="683" xr:uid="{00000000-0005-0000-0000-0000B0020000}"/>
    <cellStyle name="_FINAL RISKS AND OPS_Sceanrio 2 Update - Dec 2nd_Quasi Rent Illustration" xfId="684" xr:uid="{00000000-0005-0000-0000-0000B1020000}"/>
    <cellStyle name="_FINAL RISKS AND OPS_Sheet1" xfId="685" xr:uid="{00000000-0005-0000-0000-0000B2020000}"/>
    <cellStyle name="_FINAL RISKS AND OPS_YLC" xfId="686" xr:uid="{00000000-0005-0000-0000-0000B3020000}"/>
    <cellStyle name="_Fosters_fins" xfId="687" xr:uid="{00000000-0005-0000-0000-0000B4020000}"/>
    <cellStyle name="_George - LBO Model 3.1" xfId="688" xr:uid="{00000000-0005-0000-0000-0000B5020000}"/>
    <cellStyle name="_gerresheimer_currentv5" xfId="689" xr:uid="{00000000-0005-0000-0000-0000B6020000}"/>
    <cellStyle name="_H&amp;F" xfId="690" xr:uid="{00000000-0005-0000-0000-0000B7020000}"/>
    <cellStyle name="_H&amp;F_Covenants_draft_260412" xfId="691" xr:uid="{00000000-0005-0000-0000-0000B8020000}"/>
    <cellStyle name="_H&amp;F_Head Office Pack - Draft 1" xfId="692" xr:uid="{00000000-0005-0000-0000-0000B9020000}"/>
    <cellStyle name="_H&amp;F_Head Office Pack - Draft 4" xfId="693" xr:uid="{00000000-0005-0000-0000-0000BA020000}"/>
    <cellStyle name="_H&amp;F_Property Budget 2011" xfId="694" xr:uid="{00000000-0005-0000-0000-0000BB020000}"/>
    <cellStyle name="_H&amp;F_Property Budget 2011_Covenants_draft_260412" xfId="695" xr:uid="{00000000-0005-0000-0000-0000BC020000}"/>
    <cellStyle name="_H&amp;F_Property Budget 2011_Marketing &amp; Product" xfId="696" xr:uid="{00000000-0005-0000-0000-0000BD020000}"/>
    <cellStyle name="_H&amp;F_Sheet1" xfId="697" xr:uid="{00000000-0005-0000-0000-0000BE020000}"/>
    <cellStyle name="_Head Office Pack - Draft 1" xfId="698" xr:uid="{00000000-0005-0000-0000-0000BF020000}"/>
    <cellStyle name="_Head Office Pack - Draft 1_Covenants_draft_260412" xfId="699" xr:uid="{00000000-0005-0000-0000-0000C0020000}"/>
    <cellStyle name="_Header" xfId="700" xr:uid="{00000000-0005-0000-0000-0000C1020000}"/>
    <cellStyle name="_Header_021202External Sales 2000_2001_DA_feste Werte" xfId="701" xr:uid="{00000000-0005-0000-0000-0000C2020000}"/>
    <cellStyle name="_Header_Balance Sheet_restl. Eurowährungsl._Gruppe" xfId="702" xr:uid="{00000000-0005-0000-0000-0000C3020000}"/>
    <cellStyle name="_Header_Bank case Viking (sent to JPM 10 Nov 05)" xfId="703" xr:uid="{00000000-0005-0000-0000-0000C4020000}"/>
    <cellStyle name="_Header_Banks (2)" xfId="704" xr:uid="{00000000-0005-0000-0000-0000C5020000}"/>
    <cellStyle name="_Header_EBITDA-Recon P&amp;L OPSP04-08_GX" xfId="705" xr:uid="{00000000-0005-0000-0000-0000C6020000}"/>
    <cellStyle name="_Header_Feeder" xfId="706" xr:uid="{00000000-0005-0000-0000-0000C7020000}"/>
    <cellStyle name="_Header_Financial ratios_Euroland" xfId="707" xr:uid="{00000000-0005-0000-0000-0000C8020000}"/>
    <cellStyle name="_Header_GX OPSP0509 incl. Zurückdrehen Subsidies NVM" xfId="708" xr:uid="{00000000-0005-0000-0000-0000C9020000}"/>
    <cellStyle name="_Header_GX Plan" xfId="709" xr:uid="{00000000-0005-0000-0000-0000CA020000}"/>
    <cellStyle name="_Header_Headcount" xfId="710" xr:uid="{00000000-0005-0000-0000-0000CB020000}"/>
    <cellStyle name="_Header_Headcount_Monthly report" xfId="711" xr:uid="{00000000-0005-0000-0000-0000CC020000}"/>
    <cellStyle name="_Header_Konsolidierungsbeträge" xfId="712" xr:uid="{00000000-0005-0000-0000-0000CD020000}"/>
    <cellStyle name="_Header_LTMJUN02" xfId="713" xr:uid="{00000000-0005-0000-0000-0000CE020000}"/>
    <cellStyle name="_Header_M&amp;A Model" xfId="714" xr:uid="{00000000-0005-0000-0000-0000CF020000}"/>
    <cellStyle name="_Header_M&amp;A projections" xfId="715" xr:uid="{00000000-0005-0000-0000-0000D0020000}"/>
    <cellStyle name="_Header_MIS Reporting_Budget_JD" xfId="716" xr:uid="{00000000-0005-0000-0000-0000D1020000}"/>
    <cellStyle name="_Header_New Gerresheimer bank plan (sent to JPM 26 Nov 05)" xfId="717" xr:uid="{00000000-0005-0000-0000-0000D2020000}"/>
    <cellStyle name="_Header_P&amp;L bank model - received from Gerresheimer 1 12 05" xfId="718" xr:uid="{00000000-0005-0000-0000-0000D3020000}"/>
    <cellStyle name="_Header_Plan model" xfId="719" xr:uid="{00000000-0005-0000-0000-0000D4020000}"/>
    <cellStyle name="_Header_Quarterly" xfId="720" xr:uid="{00000000-0005-0000-0000-0000D5020000}"/>
    <cellStyle name="_Header_Tabelle1" xfId="721" xr:uid="{00000000-0005-0000-0000-0000D6020000}"/>
    <cellStyle name="_Header_TSG2" xfId="722" xr:uid="{00000000-0005-0000-0000-0000D7020000}"/>
    <cellStyle name="_Header_Update 2004 Figures v2 (sent to banks)" xfId="723" xr:uid="{00000000-0005-0000-0000-0000D8020000}"/>
    <cellStyle name="_Header_WC benchmark Calc" xfId="724" xr:uid="{00000000-0005-0000-0000-0000D9020000}"/>
    <cellStyle name="_Header_Zins und Bankschuldenberechnung_03_07" xfId="725" xr:uid="{00000000-0005-0000-0000-0000DA020000}"/>
    <cellStyle name="_Heading" xfId="726" xr:uid="{00000000-0005-0000-0000-0000DB020000}"/>
    <cellStyle name="_Heading_01 Capital Structure" xfId="727" xr:uid="{00000000-0005-0000-0000-0000DC020000}"/>
    <cellStyle name="_Heading_01 Capital Structure_03_ Clean LBO Model" xfId="728" xr:uid="{00000000-0005-0000-0000-0000DD020000}"/>
    <cellStyle name="_Heading_01 Capital Structure_05_ Clean LBO Model" xfId="729" xr:uid="{00000000-0005-0000-0000-0000DE020000}"/>
    <cellStyle name="_Heading_01 Capital Structure_08 Valuation Model incl. new BP" xfId="730" xr:uid="{00000000-0005-0000-0000-0000DF020000}"/>
    <cellStyle name="_Heading_01 Capital Structure_09 Valuation Model incl. new BP" xfId="731" xr:uid="{00000000-0005-0000-0000-0000E0020000}"/>
    <cellStyle name="_Heading_01 Capital Structure_13 Valuation Model incl. new BP" xfId="732" xr:uid="{00000000-0005-0000-0000-0000E1020000}"/>
    <cellStyle name="_Heading_01 Capital Structure_14 Valuation Model incl. new BP" xfId="733" xr:uid="{00000000-0005-0000-0000-0000E2020000}"/>
    <cellStyle name="_Heading_01 Capital Structure_15_ Clean LBO Model" xfId="734" xr:uid="{00000000-0005-0000-0000-0000E3020000}"/>
    <cellStyle name="_Heading_01 Capital Structure_20 Valuation Model incl. new BP" xfId="735" xr:uid="{00000000-0005-0000-0000-0000E4020000}"/>
    <cellStyle name="_Heading_01 Capital Structure_25 Valuation Model incl. new BP" xfId="736" xr:uid="{00000000-0005-0000-0000-0000E5020000}"/>
    <cellStyle name="_Heading_01 Capital Structure_33 Valuation Model incl. new BP" xfId="737" xr:uid="{00000000-0005-0000-0000-0000E6020000}"/>
    <cellStyle name="_Heading_01 Capital Structure_34 Valuation Model incl. new BP" xfId="738" xr:uid="{00000000-0005-0000-0000-0000E7020000}"/>
    <cellStyle name="_Heading_01 Capital Structure_37 Valuation Model incl. new BP" xfId="739" xr:uid="{00000000-0005-0000-0000-0000E8020000}"/>
    <cellStyle name="_Heading_01 Capital Structure_38 Valuation Model incl. new BP" xfId="740" xr:uid="{00000000-0005-0000-0000-0000E9020000}"/>
    <cellStyle name="_Heading_01 Capital Structure_39 Valuation Model incl. new BP" xfId="741" xr:uid="{00000000-0005-0000-0000-0000EA020000}"/>
    <cellStyle name="_Heading_01 Capital Structure_40 Valuation Model incl. new BP" xfId="742" xr:uid="{00000000-0005-0000-0000-0000EB020000}"/>
    <cellStyle name="_Heading_01 Capital Structure_44 Valuation Model incl. new BP" xfId="743" xr:uid="{00000000-0005-0000-0000-0000EC020000}"/>
    <cellStyle name="_Heading_01 Offering Breakdown" xfId="744" xr:uid="{00000000-0005-0000-0000-0000ED020000}"/>
    <cellStyle name="_Heading_02 Enersys Merger Plan" xfId="745" xr:uid="{00000000-0005-0000-0000-0000EE020000}"/>
    <cellStyle name="_Heading_02 Enersys Merger Plan_03_ Clean LBO Model" xfId="746" xr:uid="{00000000-0005-0000-0000-0000EF020000}"/>
    <cellStyle name="_Heading_02 Enersys Merger Plan_05_ Clean LBO Model" xfId="747" xr:uid="{00000000-0005-0000-0000-0000F0020000}"/>
    <cellStyle name="_Heading_02 Enersys Merger Plan_08 Valuation Model incl. new BP" xfId="748" xr:uid="{00000000-0005-0000-0000-0000F1020000}"/>
    <cellStyle name="_Heading_02 Enersys Merger Plan_09 Valuation Model incl. new BP" xfId="749" xr:uid="{00000000-0005-0000-0000-0000F2020000}"/>
    <cellStyle name="_Heading_02 Enersys Merger Plan_13 Valuation Model incl. new BP" xfId="750" xr:uid="{00000000-0005-0000-0000-0000F3020000}"/>
    <cellStyle name="_Heading_02 Enersys Merger Plan_14 Valuation Model incl. new BP" xfId="751" xr:uid="{00000000-0005-0000-0000-0000F4020000}"/>
    <cellStyle name="_Heading_02 Enersys Merger Plan_15_ Clean LBO Model" xfId="752" xr:uid="{00000000-0005-0000-0000-0000F5020000}"/>
    <cellStyle name="_Heading_02 Enersys Merger Plan_20 Valuation Model incl. new BP" xfId="753" xr:uid="{00000000-0005-0000-0000-0000F6020000}"/>
    <cellStyle name="_Heading_02 Enersys Merger Plan_25 Valuation Model incl. new BP" xfId="754" xr:uid="{00000000-0005-0000-0000-0000F7020000}"/>
    <cellStyle name="_Heading_02 Enersys Merger Plan_33 Valuation Model incl. new BP" xfId="755" xr:uid="{00000000-0005-0000-0000-0000F8020000}"/>
    <cellStyle name="_Heading_02 Enersys Merger Plan_34 Valuation Model incl. new BP" xfId="756" xr:uid="{00000000-0005-0000-0000-0000F9020000}"/>
    <cellStyle name="_Heading_02 Enersys Merger Plan_37 Valuation Model incl. new BP" xfId="757" xr:uid="{00000000-0005-0000-0000-0000FA020000}"/>
    <cellStyle name="_Heading_02 Enersys Merger Plan_38 Valuation Model incl. new BP" xfId="758" xr:uid="{00000000-0005-0000-0000-0000FB020000}"/>
    <cellStyle name="_Heading_02 Enersys Merger Plan_39 Valuation Model incl. new BP" xfId="759" xr:uid="{00000000-0005-0000-0000-0000FC020000}"/>
    <cellStyle name="_Heading_02 Enersys Merger Plan_40 Valuation Model incl. new BP" xfId="760" xr:uid="{00000000-0005-0000-0000-0000FD020000}"/>
    <cellStyle name="_Heading_02 Enersys Merger Plan_44 Valuation Model incl. new BP" xfId="761" xr:uid="{00000000-0005-0000-0000-0000FE020000}"/>
    <cellStyle name="_Heading_02 TDC Merger Plan" xfId="762" xr:uid="{00000000-0005-0000-0000-0000FF020000}"/>
    <cellStyle name="_Heading_02 TDC Merger Plan_03_ Clean LBO Model" xfId="763" xr:uid="{00000000-0005-0000-0000-000000030000}"/>
    <cellStyle name="_Heading_02 TDC Merger Plan_05_ Clean LBO Model" xfId="764" xr:uid="{00000000-0005-0000-0000-000001030000}"/>
    <cellStyle name="_Heading_02 TDC Merger Plan_08 Valuation Model incl. new BP" xfId="765" xr:uid="{00000000-0005-0000-0000-000002030000}"/>
    <cellStyle name="_Heading_02 TDC Merger Plan_09 Valuation Model incl. new BP" xfId="766" xr:uid="{00000000-0005-0000-0000-000003030000}"/>
    <cellStyle name="_Heading_02 TDC Merger Plan_13 Valuation Model incl. new BP" xfId="767" xr:uid="{00000000-0005-0000-0000-000004030000}"/>
    <cellStyle name="_Heading_02 TDC Merger Plan_14 Valuation Model incl. new BP" xfId="768" xr:uid="{00000000-0005-0000-0000-000005030000}"/>
    <cellStyle name="_Heading_02 TDC Merger Plan_15_ Clean LBO Model" xfId="769" xr:uid="{00000000-0005-0000-0000-000006030000}"/>
    <cellStyle name="_Heading_02 TDC Merger Plan_20 Valuation Model incl. new BP" xfId="770" xr:uid="{00000000-0005-0000-0000-000007030000}"/>
    <cellStyle name="_Heading_02 TDC Merger Plan_25 Valuation Model incl. new BP" xfId="771" xr:uid="{00000000-0005-0000-0000-000008030000}"/>
    <cellStyle name="_Heading_02 TDC Merger Plan_33 Valuation Model incl. new BP" xfId="772" xr:uid="{00000000-0005-0000-0000-000009030000}"/>
    <cellStyle name="_Heading_02 TDC Merger Plan_34 Valuation Model incl. new BP" xfId="773" xr:uid="{00000000-0005-0000-0000-00000A030000}"/>
    <cellStyle name="_Heading_02 TDC Merger Plan_37 Valuation Model incl. new BP" xfId="774" xr:uid="{00000000-0005-0000-0000-00000B030000}"/>
    <cellStyle name="_Heading_02 TDC Merger Plan_38 Valuation Model incl. new BP" xfId="775" xr:uid="{00000000-0005-0000-0000-00000C030000}"/>
    <cellStyle name="_Heading_02 TDC Merger Plan_39 Valuation Model incl. new BP" xfId="776" xr:uid="{00000000-0005-0000-0000-00000D030000}"/>
    <cellStyle name="_Heading_02 TDC Merger Plan_40 Valuation Model incl. new BP" xfId="777" xr:uid="{00000000-0005-0000-0000-00000E030000}"/>
    <cellStyle name="_Heading_02 TDC Merger Plan_44 Valuation Model incl. new BP" xfId="778" xr:uid="{00000000-0005-0000-0000-00000F030000}"/>
    <cellStyle name="_Heading_02 WACC Analysis" xfId="779" xr:uid="{00000000-0005-0000-0000-000010030000}"/>
    <cellStyle name="_Heading_03 Total Expenses" xfId="780" xr:uid="{00000000-0005-0000-0000-000011030000}"/>
    <cellStyle name="_Heading_04 Volatility" xfId="781" xr:uid="{00000000-0005-0000-0000-000012030000}"/>
    <cellStyle name="_Heading_16 Detail of Key Metrics_mario marco" xfId="782" xr:uid="{00000000-0005-0000-0000-000013030000}"/>
    <cellStyle name="_Heading_19 Valuation of Cegetel" xfId="783" xr:uid="{00000000-0005-0000-0000-000014030000}"/>
    <cellStyle name="_Heading_19 Valuation of Cegetel_03_ Clean LBO Model" xfId="784" xr:uid="{00000000-0005-0000-0000-000015030000}"/>
    <cellStyle name="_Heading_19 Valuation of Cegetel_05_ Clean LBO Model" xfId="785" xr:uid="{00000000-0005-0000-0000-000016030000}"/>
    <cellStyle name="_Heading_19 Valuation of Cegetel_08 Valuation Model incl. new BP" xfId="786" xr:uid="{00000000-0005-0000-0000-000017030000}"/>
    <cellStyle name="_Heading_19 Valuation of Cegetel_09 Valuation Model incl. new BP" xfId="787" xr:uid="{00000000-0005-0000-0000-000018030000}"/>
    <cellStyle name="_Heading_19 Valuation of Cegetel_13 Valuation Model incl. new BP" xfId="788" xr:uid="{00000000-0005-0000-0000-000019030000}"/>
    <cellStyle name="_Heading_19 Valuation of Cegetel_14 Valuation Model incl. new BP" xfId="789" xr:uid="{00000000-0005-0000-0000-00001A030000}"/>
    <cellStyle name="_Heading_19 Valuation of Cegetel_15_ Clean LBO Model" xfId="790" xr:uid="{00000000-0005-0000-0000-00001B030000}"/>
    <cellStyle name="_Heading_19 Valuation of Cegetel_20 Valuation Model incl. new BP" xfId="791" xr:uid="{00000000-0005-0000-0000-00001C030000}"/>
    <cellStyle name="_Heading_19 Valuation of Cegetel_25 Valuation Model incl. new BP" xfId="792" xr:uid="{00000000-0005-0000-0000-00001D030000}"/>
    <cellStyle name="_Heading_19 Valuation of Cegetel_33 Valuation Model incl. new BP" xfId="793" xr:uid="{00000000-0005-0000-0000-00001E030000}"/>
    <cellStyle name="_Heading_19 Valuation of Cegetel_34 Valuation Model incl. new BP" xfId="794" xr:uid="{00000000-0005-0000-0000-00001F030000}"/>
    <cellStyle name="_Heading_19 Valuation of Cegetel_37 Valuation Model incl. new BP" xfId="795" xr:uid="{00000000-0005-0000-0000-000020030000}"/>
    <cellStyle name="_Heading_19 Valuation of Cegetel_38 Valuation Model incl. new BP" xfId="796" xr:uid="{00000000-0005-0000-0000-000021030000}"/>
    <cellStyle name="_Heading_19 Valuation of Cegetel_39 Valuation Model incl. new BP" xfId="797" xr:uid="{00000000-0005-0000-0000-000022030000}"/>
    <cellStyle name="_Heading_19 Valuation of Cegetel_40 Valuation Model incl. new BP" xfId="798" xr:uid="{00000000-0005-0000-0000-000023030000}"/>
    <cellStyle name="_Heading_19 Valuation of Cegetel_44 Valuation Model incl. new BP" xfId="799" xr:uid="{00000000-0005-0000-0000-000024030000}"/>
    <cellStyle name="_Heading_20 Operational Model" xfId="800" xr:uid="{00000000-0005-0000-0000-000025030000}"/>
    <cellStyle name="_Heading_44 Valuation Model incl. new BP" xfId="801" xr:uid="{00000000-0005-0000-0000-000026030000}"/>
    <cellStyle name="_Heading_Betas" xfId="802" xr:uid="{00000000-0005-0000-0000-000027030000}"/>
    <cellStyle name="_Heading_Cairo LBO model - Sept 06" xfId="803" xr:uid="{00000000-0005-0000-0000-000028030000}"/>
    <cellStyle name="_Heading_Numico GS Research Model 23-Aug-2002" xfId="804" xr:uid="{00000000-0005-0000-0000-000029030000}"/>
    <cellStyle name="_Heading_Numico GS Research Model 23-Aug-2002_03_ Clean LBO Model" xfId="805" xr:uid="{00000000-0005-0000-0000-00002A030000}"/>
    <cellStyle name="_Heading_Numico GS Research Model 23-Aug-2002_05_ Clean LBO Model" xfId="806" xr:uid="{00000000-0005-0000-0000-00002B030000}"/>
    <cellStyle name="_Heading_Numico GS Research Model 23-Aug-2002_08 Valuation Model incl. new BP" xfId="807" xr:uid="{00000000-0005-0000-0000-00002C030000}"/>
    <cellStyle name="_Heading_Numico GS Research Model 23-Aug-2002_09 Valuation Model incl. new BP" xfId="808" xr:uid="{00000000-0005-0000-0000-00002D030000}"/>
    <cellStyle name="_Heading_Numico GS Research Model 23-Aug-2002_13 Valuation Model incl. new BP" xfId="809" xr:uid="{00000000-0005-0000-0000-00002E030000}"/>
    <cellStyle name="_Heading_Numico GS Research Model 23-Aug-2002_14 Valuation Model incl. new BP" xfId="810" xr:uid="{00000000-0005-0000-0000-00002F030000}"/>
    <cellStyle name="_Heading_Numico GS Research Model 23-Aug-2002_15_ Clean LBO Model" xfId="811" xr:uid="{00000000-0005-0000-0000-000030030000}"/>
    <cellStyle name="_Heading_Numico GS Research Model 23-Aug-2002_20 Valuation Model incl. new BP" xfId="812" xr:uid="{00000000-0005-0000-0000-000031030000}"/>
    <cellStyle name="_Heading_Numico GS Research Model 23-Aug-2002_25 Valuation Model incl. new BP" xfId="813" xr:uid="{00000000-0005-0000-0000-000032030000}"/>
    <cellStyle name="_Heading_Numico GS Research Model 23-Aug-2002_33 Valuation Model incl. new BP" xfId="814" xr:uid="{00000000-0005-0000-0000-000033030000}"/>
    <cellStyle name="_Heading_Numico GS Research Model 23-Aug-2002_34 Valuation Model incl. new BP" xfId="815" xr:uid="{00000000-0005-0000-0000-000034030000}"/>
    <cellStyle name="_Heading_Numico GS Research Model 23-Aug-2002_37 Valuation Model incl. new BP" xfId="816" xr:uid="{00000000-0005-0000-0000-000035030000}"/>
    <cellStyle name="_Heading_Numico GS Research Model 23-Aug-2002_38 Valuation Model incl. new BP" xfId="817" xr:uid="{00000000-0005-0000-0000-000036030000}"/>
    <cellStyle name="_Heading_Numico GS Research Model 23-Aug-2002_39 Valuation Model incl. new BP" xfId="818" xr:uid="{00000000-0005-0000-0000-000037030000}"/>
    <cellStyle name="_Heading_Numico GS Research Model 23-Aug-2002_40 Valuation Model incl. new BP" xfId="819" xr:uid="{00000000-0005-0000-0000-000038030000}"/>
    <cellStyle name="_Heading_Numico GS Research Model 23-Aug-2002_44 Valuation Model incl. new BP" xfId="820" xr:uid="{00000000-0005-0000-0000-000039030000}"/>
    <cellStyle name="_Heading_Numico GS Research Model 23-Aug-2002_CSC July 24" xfId="821" xr:uid="{00000000-0005-0000-0000-00003A030000}"/>
    <cellStyle name="_Heading_Offering Breakdown - 09-Jun -2005" xfId="822" xr:uid="{00000000-0005-0000-0000-00003B030000}"/>
    <cellStyle name="_Heading_prestemp" xfId="823" xr:uid="{00000000-0005-0000-0000-00003C030000}"/>
    <cellStyle name="_Heading_StockGroupKeyFinancials" xfId="824" xr:uid="{00000000-0005-0000-0000-00003D030000}"/>
    <cellStyle name="_Heading_Volatility" xfId="825" xr:uid="{00000000-0005-0000-0000-00003E030000}"/>
    <cellStyle name="_Headline" xfId="826" xr:uid="{00000000-0005-0000-0000-00003F030000}"/>
    <cellStyle name="_Highlight" xfId="827" xr:uid="{00000000-0005-0000-0000-000040030000}"/>
    <cellStyle name="_IT Budget detail" xfId="828" xr:uid="{00000000-0005-0000-0000-000041030000}"/>
    <cellStyle name="_JV Model2" xfId="829" xr:uid="{00000000-0005-0000-0000-000042030000}"/>
    <cellStyle name="_KPN Fixed" xfId="830" xr:uid="{00000000-0005-0000-0000-000043030000}"/>
    <cellStyle name="_KPN-germany" xfId="831" xr:uid="{00000000-0005-0000-0000-000044030000}"/>
    <cellStyle name="_KPN-germany_CSC July 24" xfId="832" xr:uid="{00000000-0005-0000-0000-000045030000}"/>
    <cellStyle name="_KPN-germany_CSC July 24_03_ Clean LBO Model" xfId="833" xr:uid="{00000000-0005-0000-0000-000046030000}"/>
    <cellStyle name="_KPN-germany_CSC July 24_05_ Clean LBO Model" xfId="834" xr:uid="{00000000-0005-0000-0000-000047030000}"/>
    <cellStyle name="_KPN-germany_CSC July 24_08 Valuation Model incl. new BP" xfId="835" xr:uid="{00000000-0005-0000-0000-000048030000}"/>
    <cellStyle name="_KPN-germany_CSC July 24_09 Valuation Model incl. new BP" xfId="836" xr:uid="{00000000-0005-0000-0000-000049030000}"/>
    <cellStyle name="_KPN-germany_CSC July 24_13 Valuation Model incl. new BP" xfId="837" xr:uid="{00000000-0005-0000-0000-00004A030000}"/>
    <cellStyle name="_KPN-germany_CSC July 24_14 Valuation Model incl. new BP" xfId="838" xr:uid="{00000000-0005-0000-0000-00004B030000}"/>
    <cellStyle name="_KPN-germany_CSC July 24_15_ Clean LBO Model" xfId="839" xr:uid="{00000000-0005-0000-0000-00004C030000}"/>
    <cellStyle name="_KPN-germany_CSC July 24_20 Valuation Model incl. new BP" xfId="840" xr:uid="{00000000-0005-0000-0000-00004D030000}"/>
    <cellStyle name="_KPN-germany_CSC July 24_25 Valuation Model incl. new BP" xfId="841" xr:uid="{00000000-0005-0000-0000-00004E030000}"/>
    <cellStyle name="_KPN-germany_CSC July 24_33 Valuation Model incl. new BP" xfId="842" xr:uid="{00000000-0005-0000-0000-00004F030000}"/>
    <cellStyle name="_KPN-germany_CSC July 24_34 Valuation Model incl. new BP" xfId="843" xr:uid="{00000000-0005-0000-0000-000050030000}"/>
    <cellStyle name="_KPN-germany_CSC July 24_37 Valuation Model incl. new BP" xfId="844" xr:uid="{00000000-0005-0000-0000-000051030000}"/>
    <cellStyle name="_KPN-germany_CSC July 24_38 Valuation Model incl. new BP" xfId="845" xr:uid="{00000000-0005-0000-0000-000052030000}"/>
    <cellStyle name="_KPN-germany_CSC July 24_39 Valuation Model incl. new BP" xfId="846" xr:uid="{00000000-0005-0000-0000-000053030000}"/>
    <cellStyle name="_KPN-germany_CSC July 24_40 Valuation Model incl. new BP" xfId="847" xr:uid="{00000000-0005-0000-0000-000054030000}"/>
    <cellStyle name="_KPN-germany_CSC July 24_44 Valuation Model incl. new BP" xfId="848" xr:uid="{00000000-0005-0000-0000-000055030000}"/>
    <cellStyle name="_labour pg for 2010 club model" xfId="849" xr:uid="{00000000-0005-0000-0000-000056030000}"/>
    <cellStyle name="_labour pg for 2010 club model_Covenants_draft_260412" xfId="850" xr:uid="{00000000-0005-0000-0000-000057030000}"/>
    <cellStyle name="_labour pg for 2010 club model_Head Office Pack - Draft 1" xfId="851" xr:uid="{00000000-0005-0000-0000-000058030000}"/>
    <cellStyle name="_labour pg for 2010 club model_Head Office Pack - Draft 4" xfId="852" xr:uid="{00000000-0005-0000-0000-000059030000}"/>
    <cellStyle name="_labour pg for 2010 club model_Sheet1" xfId="853" xr:uid="{00000000-0005-0000-0000-00005A030000}"/>
    <cellStyle name="_LBOCombOpCo_v72_Anglo" xfId="854" xr:uid="{00000000-0005-0000-0000-00005B030000}"/>
    <cellStyle name="_Leeds_2010_Rates" xfId="855" xr:uid="{00000000-0005-0000-0000-00005C030000}"/>
    <cellStyle name="_Leeds_2010_Rates_Book2" xfId="856" xr:uid="{00000000-0005-0000-0000-00005D030000}"/>
    <cellStyle name="_Leeds_2010_Rates_Covenants_draft_260412" xfId="857" xr:uid="{00000000-0005-0000-0000-00005E030000}"/>
    <cellStyle name="_Leeds_2010_Rates_Internal" xfId="858" xr:uid="{00000000-0005-0000-0000-00005F030000}"/>
    <cellStyle name="_Leeds_2010_Rates_Internal 1" xfId="859" xr:uid="{00000000-0005-0000-0000-000060030000}"/>
    <cellStyle name="_Leeds_2010_Rates_Internal 1_Projections Pack" xfId="860" xr:uid="{00000000-0005-0000-0000-000061030000}"/>
    <cellStyle name="_Leeds_2010_Rates_Internal 1_Projections Pack (TM)" xfId="861" xr:uid="{00000000-0005-0000-0000-000062030000}"/>
    <cellStyle name="_Leeds_2010_Rates_Internal 1_Quasi Rent Illustration" xfId="862" xr:uid="{00000000-0005-0000-0000-000063030000}"/>
    <cellStyle name="_Leeds_2010_Rates_Internal_Projections Pack" xfId="863" xr:uid="{00000000-0005-0000-0000-000064030000}"/>
    <cellStyle name="_Leeds_2010_Rates_Internal_Projections Pack (TM)" xfId="864" xr:uid="{00000000-0005-0000-0000-000065030000}"/>
    <cellStyle name="_Leeds_2010_Rates_Internal_Quasi Rent Illustration" xfId="865" xr:uid="{00000000-0005-0000-0000-000066030000}"/>
    <cellStyle name="_Leeds_2010_Rates_PAR overlay" xfId="866" xr:uid="{00000000-0005-0000-0000-000067030000}"/>
    <cellStyle name="_Leeds_2010_Rates_PAR overlay_Projections Pack" xfId="867" xr:uid="{00000000-0005-0000-0000-000068030000}"/>
    <cellStyle name="_Leeds_2010_Rates_PAR overlay_Projections Pack (TM)" xfId="868" xr:uid="{00000000-0005-0000-0000-000069030000}"/>
    <cellStyle name="_Leeds_2010_Rates_PAR overlay_Quasi Rent Illustration" xfId="869" xr:uid="{00000000-0005-0000-0000-00006A030000}"/>
    <cellStyle name="_Leeds_2010_Rates_Sceanrio 2 Update - Dec 2nd" xfId="870" xr:uid="{00000000-0005-0000-0000-00006B030000}"/>
    <cellStyle name="_Leeds_2010_Rates_Sceanrio 2 Update - Dec 2nd_Projections Pack" xfId="871" xr:uid="{00000000-0005-0000-0000-00006C030000}"/>
    <cellStyle name="_Leeds_2010_Rates_Sceanrio 2 Update - Dec 2nd_Projections Pack (TM)" xfId="872" xr:uid="{00000000-0005-0000-0000-00006D030000}"/>
    <cellStyle name="_Leeds_2010_Rates_Sceanrio 2 Update - Dec 2nd_Quasi Rent Illustration" xfId="873" xr:uid="{00000000-0005-0000-0000-00006E030000}"/>
    <cellStyle name="_Licences" xfId="874" xr:uid="{00000000-0005-0000-0000-00006F030000}"/>
    <cellStyle name="_Licences_Covenants_draft_260412" xfId="875" xr:uid="{00000000-0005-0000-0000-000070030000}"/>
    <cellStyle name="_Licences_Head Office Pack - Draft 1" xfId="876" xr:uid="{00000000-0005-0000-0000-000071030000}"/>
    <cellStyle name="_Licences_Head Office Pack - Draft 4" xfId="877" xr:uid="{00000000-0005-0000-0000-000072030000}"/>
    <cellStyle name="_Licences_Sheet1" xfId="878" xr:uid="{00000000-0005-0000-0000-000073030000}"/>
    <cellStyle name="_Mal for innhenting av estimater Q4- 2002" xfId="879" xr:uid="{00000000-0005-0000-0000-000074030000}"/>
    <cellStyle name="_MD 1 model_blank_Augustin" xfId="880" xr:uid="{00000000-0005-0000-0000-000075030000}"/>
    <cellStyle name="_MTU Diesel LBO Model" xfId="881" xr:uid="{00000000-0005-0000-0000-000076030000}"/>
    <cellStyle name="_Multiple" xfId="882" xr:uid="{00000000-0005-0000-0000-000077030000}"/>
    <cellStyle name="_Multiple 5" xfId="883" xr:uid="{00000000-0005-0000-0000-000078030000}"/>
    <cellStyle name="_Multiple_Betas" xfId="884" xr:uid="{00000000-0005-0000-0000-000079030000}"/>
    <cellStyle name="_Multiple_Betas as of 18-Apr-20022" xfId="885" xr:uid="{00000000-0005-0000-0000-00007A030000}"/>
    <cellStyle name="_Multiple_Draft funds flow - 7 June 2005" xfId="886" xr:uid="{00000000-0005-0000-0000-00007B030000}"/>
    <cellStyle name="_Multiple_EXPN" xfId="887" xr:uid="{00000000-0005-0000-0000-00007C030000}"/>
    <cellStyle name="_Multiple_MD 1 model_blank_Augustin" xfId="888" xr:uid="{00000000-0005-0000-0000-00007D030000}"/>
    <cellStyle name="_Multiple_Offering Breakdown - 09-Jun -2005" xfId="889" xr:uid="{00000000-0005-0000-0000-00007E030000}"/>
    <cellStyle name="_Multiple_Offering Breakdown - 09-Jun -2005 updated" xfId="890" xr:uid="{00000000-0005-0000-0000-00007F030000}"/>
    <cellStyle name="_Multiple_Offering Breakdown - 19-Jun -2005 updated" xfId="891" xr:uid="{00000000-0005-0000-0000-000080030000}"/>
    <cellStyle name="_Multiple_pi5" xfId="892" xr:uid="{00000000-0005-0000-0000-000081030000}"/>
    <cellStyle name="_Multiple_surbid4 cloture" xfId="893" xr:uid="{00000000-0005-0000-0000-000082030000}"/>
    <cellStyle name="_Multiple_surbid4 cloture_1" xfId="894" xr:uid="{00000000-0005-0000-0000-000083030000}"/>
    <cellStyle name="_Multiple_surbid4 cloture_1_noos 2001 results 11jul01" xfId="895" xr:uid="{00000000-0005-0000-0000-000084030000}"/>
    <cellStyle name="_Multiple_tropicos5" xfId="896" xr:uid="{00000000-0005-0000-0000-000085030000}"/>
    <cellStyle name="_Multiple_voice1.xls Chart 1" xfId="897" xr:uid="{00000000-0005-0000-0000-000086030000}"/>
    <cellStyle name="_Multiple_wacc" xfId="898" xr:uid="{00000000-0005-0000-0000-000087030000}"/>
    <cellStyle name="_Multiple_wacc bb final" xfId="899" xr:uid="{00000000-0005-0000-0000-000088030000}"/>
    <cellStyle name="_Multiple_wacc bb final_Feeder" xfId="900" xr:uid="{00000000-0005-0000-0000-000089030000}"/>
    <cellStyle name="_Multiple_wacc bb final_M&amp;A Model" xfId="901" xr:uid="{00000000-0005-0000-0000-00008A030000}"/>
    <cellStyle name="_MultipleSpace" xfId="902" xr:uid="{00000000-0005-0000-0000-00008B030000}"/>
    <cellStyle name="_MultipleSpace_Betas" xfId="903" xr:uid="{00000000-0005-0000-0000-00008C030000}"/>
    <cellStyle name="_MultipleSpace_Betas as of 18-Apr-20022" xfId="904" xr:uid="{00000000-0005-0000-0000-00008D030000}"/>
    <cellStyle name="_MultipleSpace_Draft funds flow - 7 June 2005" xfId="905" xr:uid="{00000000-0005-0000-0000-00008E030000}"/>
    <cellStyle name="_MultipleSpace_EXPN" xfId="906" xr:uid="{00000000-0005-0000-0000-00008F030000}"/>
    <cellStyle name="_MultipleSpace_George - LBO Model 3.1" xfId="907" xr:uid="{00000000-0005-0000-0000-000090030000}"/>
    <cellStyle name="_MultipleSpace_George - LBO Model 3.1_Feeder" xfId="908" xr:uid="{00000000-0005-0000-0000-000091030000}"/>
    <cellStyle name="_MultipleSpace_George - LBO Model 3.1_M&amp;A Model" xfId="909" xr:uid="{00000000-0005-0000-0000-000092030000}"/>
    <cellStyle name="_MultipleSpace_MD 1 model_blank_Augustin" xfId="910" xr:uid="{00000000-0005-0000-0000-000093030000}"/>
    <cellStyle name="_MultipleSpace_noos 2001 results 11jul01" xfId="911" xr:uid="{00000000-0005-0000-0000-000094030000}"/>
    <cellStyle name="_MultipleSpace_Novartis-Roche 0805 v2" xfId="912" xr:uid="{00000000-0005-0000-0000-000095030000}"/>
    <cellStyle name="_MultipleSpace_Offering Breakdown - 09-Jun -2005" xfId="913" xr:uid="{00000000-0005-0000-0000-000096030000}"/>
    <cellStyle name="_MultipleSpace_Offering Breakdown - 09-Jun -2005 updated" xfId="914" xr:uid="{00000000-0005-0000-0000-000097030000}"/>
    <cellStyle name="_MultipleSpace_Offering Breakdown - 19-Jun -2005 updated" xfId="915" xr:uid="{00000000-0005-0000-0000-000098030000}"/>
    <cellStyle name="_MultipleSpace_pi5" xfId="916" xr:uid="{00000000-0005-0000-0000-000099030000}"/>
    <cellStyle name="_MultipleSpace_surbid4 cloture" xfId="917" xr:uid="{00000000-0005-0000-0000-00009A030000}"/>
    <cellStyle name="_MultipleSpace_surbid4 cloture_1" xfId="918" xr:uid="{00000000-0005-0000-0000-00009B030000}"/>
    <cellStyle name="_MultipleSpace_surbid4 cloture_1_noos 2001 results 11jul01" xfId="919" xr:uid="{00000000-0005-0000-0000-00009C030000}"/>
    <cellStyle name="_MultipleSpace_tropicos5" xfId="920" xr:uid="{00000000-0005-0000-0000-00009D030000}"/>
    <cellStyle name="_MultipleSpace_voice1.xls Chart 1" xfId="921" xr:uid="{00000000-0005-0000-0000-00009E030000}"/>
    <cellStyle name="_MultipleSpace_wacc" xfId="922" xr:uid="{00000000-0005-0000-0000-00009F030000}"/>
    <cellStyle name="_MultipleSpace_wacc bb final" xfId="923" xr:uid="{00000000-0005-0000-0000-0000A0030000}"/>
    <cellStyle name="_MultipleSpace_wacc bb final_Feeder" xfId="924" xr:uid="{00000000-0005-0000-0000-0000A1030000}"/>
    <cellStyle name="_MultipleSpace_wacc bb final_George - LBO Model 3.1" xfId="925" xr:uid="{00000000-0005-0000-0000-0000A2030000}"/>
    <cellStyle name="_MultipleSpace_wacc bb final_George - LBO Model 3.1_Feeder" xfId="926" xr:uid="{00000000-0005-0000-0000-0000A3030000}"/>
    <cellStyle name="_MultipleSpace_wacc bb final_George - LBO Model 3.1_M&amp;A Model" xfId="927" xr:uid="{00000000-0005-0000-0000-0000A4030000}"/>
    <cellStyle name="_MultipleSpace_wacc bb final_M&amp;A Model" xfId="928" xr:uid="{00000000-0005-0000-0000-0000A5030000}"/>
    <cellStyle name="_NoData" xfId="929" xr:uid="{00000000-0005-0000-0000-0000A6030000}"/>
    <cellStyle name="_North East &amp; Midlands" xfId="930" xr:uid="{00000000-0005-0000-0000-0000A7030000}"/>
    <cellStyle name="_North East &amp; Midlands_Covenants_draft_260412" xfId="931" xr:uid="{00000000-0005-0000-0000-0000A8030000}"/>
    <cellStyle name="_North East &amp; Midlands_Head Office Pack - Draft 1" xfId="932" xr:uid="{00000000-0005-0000-0000-0000A9030000}"/>
    <cellStyle name="_North East &amp; Midlands_Head Office Pack - Draft 4" xfId="933" xr:uid="{00000000-0005-0000-0000-0000AA030000}"/>
    <cellStyle name="_North East &amp; Midlands_Property Budget 2011" xfId="934" xr:uid="{00000000-0005-0000-0000-0000AB030000}"/>
    <cellStyle name="_North East &amp; Midlands_Property Budget 2011_Covenants_draft_260412" xfId="935" xr:uid="{00000000-0005-0000-0000-0000AC030000}"/>
    <cellStyle name="_North East &amp; Midlands_Property Budget 2011_Marketing &amp; Product" xfId="936" xr:uid="{00000000-0005-0000-0000-0000AD030000}"/>
    <cellStyle name="_North East &amp; Midlands_Sheet1" xfId="937" xr:uid="{00000000-0005-0000-0000-0000AE030000}"/>
    <cellStyle name="_October Scorecard" xfId="938" xr:uid="{00000000-0005-0000-0000-0000AF030000}"/>
    <cellStyle name="_Pay as you Can logic for LBO" xfId="939" xr:uid="{00000000-0005-0000-0000-0000B0030000}"/>
    <cellStyle name="_Percent" xfId="940" xr:uid="{00000000-0005-0000-0000-0000B1030000}"/>
    <cellStyle name="_Percent_pi5" xfId="941" xr:uid="{00000000-0005-0000-0000-0000B2030000}"/>
    <cellStyle name="_Percent_surbid4 cloture" xfId="942" xr:uid="{00000000-0005-0000-0000-0000B3030000}"/>
    <cellStyle name="_Percent_surbid4 cloture_noos 2001 results 11jul01" xfId="943" xr:uid="{00000000-0005-0000-0000-0000B4030000}"/>
    <cellStyle name="_Percent_temp templates2" xfId="944" xr:uid="{00000000-0005-0000-0000-0000B5030000}"/>
    <cellStyle name="_Percent_tropicos5" xfId="945" xr:uid="{00000000-0005-0000-0000-0000B6030000}"/>
    <cellStyle name="_Percent_voice1.xls Chart 1" xfId="946" xr:uid="{00000000-0005-0000-0000-0000B7030000}"/>
    <cellStyle name="_Percent_wacc" xfId="947" xr:uid="{00000000-0005-0000-0000-0000B8030000}"/>
    <cellStyle name="_PercentSpace" xfId="948" xr:uid="{00000000-0005-0000-0000-0000B9030000}"/>
    <cellStyle name="_PercentSpace_George - LBO Model 3.1" xfId="949" xr:uid="{00000000-0005-0000-0000-0000BA030000}"/>
    <cellStyle name="_PercentSpace_pi5" xfId="950" xr:uid="{00000000-0005-0000-0000-0000BB030000}"/>
    <cellStyle name="_PercentSpace_surbid4 cloture" xfId="951" xr:uid="{00000000-0005-0000-0000-0000BC030000}"/>
    <cellStyle name="_PercentSpace_surbid4 cloture_1" xfId="952" xr:uid="{00000000-0005-0000-0000-0000BD030000}"/>
    <cellStyle name="_PercentSpace_surbid4 cloture_1_noos 2001 results 11jul01" xfId="953" xr:uid="{00000000-0005-0000-0000-0000BE030000}"/>
    <cellStyle name="_PercentSpace_surbid4 cloture_noos 2001 results 11jul01" xfId="954" xr:uid="{00000000-0005-0000-0000-0000BF030000}"/>
    <cellStyle name="_PercentSpace_tropicos5" xfId="955" xr:uid="{00000000-0005-0000-0000-0000C0030000}"/>
    <cellStyle name="_PercentSpace_voice1.xls Chart 1" xfId="956" xr:uid="{00000000-0005-0000-0000-0000C1030000}"/>
    <cellStyle name="_PercentSpace_wacc" xfId="957" xr:uid="{00000000-0005-0000-0000-0000C2030000}"/>
    <cellStyle name="_PercentSpace_wacc bb final" xfId="958" xr:uid="{00000000-0005-0000-0000-0000C3030000}"/>
    <cellStyle name="_PercentSpace_wacc bb final_Feeder" xfId="959" xr:uid="{00000000-0005-0000-0000-0000C4030000}"/>
    <cellStyle name="_PercentSpace_wacc bb final_George - LBO Model 3.1" xfId="960" xr:uid="{00000000-0005-0000-0000-0000C5030000}"/>
    <cellStyle name="_PercentSpace_wacc bb final_George - LBO Model 3.1_Feeder" xfId="961" xr:uid="{00000000-0005-0000-0000-0000C6030000}"/>
    <cellStyle name="_PercentSpace_wacc bb final_George - LBO Model 3.1_M&amp;A Model" xfId="962" xr:uid="{00000000-0005-0000-0000-0000C7030000}"/>
    <cellStyle name="_PercentSpace_wacc bb final_M&amp;A Model" xfId="963" xr:uid="{00000000-0005-0000-0000-0000C8030000}"/>
    <cellStyle name="_Property Budget 2011" xfId="964" xr:uid="{00000000-0005-0000-0000-0000C9030000}"/>
    <cellStyle name="_Property PPM Budgets - 2009" xfId="965" xr:uid="{00000000-0005-0000-0000-0000CA030000}"/>
    <cellStyle name="_Property PPM Budgets - 2009_Covenants_draft_260412" xfId="966" xr:uid="{00000000-0005-0000-0000-0000CB030000}"/>
    <cellStyle name="_Property PPM Budgets - 2009_Head Office Pack - Draft 1" xfId="967" xr:uid="{00000000-0005-0000-0000-0000CC030000}"/>
    <cellStyle name="_Property PPM Budgets - 2009_Head Office Pack - Draft 4" xfId="968" xr:uid="{00000000-0005-0000-0000-0000CD030000}"/>
    <cellStyle name="_Property PPM Budgets - 2009_Sheet1" xfId="969" xr:uid="{00000000-0005-0000-0000-0000CE030000}"/>
    <cellStyle name="_Repairs &amp; Maintenance" xfId="970" xr:uid="{00000000-0005-0000-0000-0000CF030000}"/>
    <cellStyle name="_Repairs &amp; Maintenance_Covenants_draft_260412" xfId="971" xr:uid="{00000000-0005-0000-0000-0000D0030000}"/>
    <cellStyle name="_Repairs &amp; Maintenance_Head Office Pack - Draft 1" xfId="972" xr:uid="{00000000-0005-0000-0000-0000D1030000}"/>
    <cellStyle name="_Repairs &amp; Maintenance_Head Office Pack - Draft 4" xfId="973" xr:uid="{00000000-0005-0000-0000-0000D2030000}"/>
    <cellStyle name="_Repairs &amp; Maintenance_Sheet1" xfId="974" xr:uid="{00000000-0005-0000-0000-0000D3030000}"/>
    <cellStyle name="_Row1" xfId="975" xr:uid="{00000000-0005-0000-0000-0000D4030000}"/>
    <cellStyle name="_Row1_Bank case Viking (sent to JPM 10 Nov 05)" xfId="977" xr:uid="{00000000-0005-0000-0000-0000D6030000}"/>
    <cellStyle name="_Row1_Banks (2)" xfId="978" xr:uid="{00000000-0005-0000-0000-0000D7030000}"/>
    <cellStyle name="_Row1_Book2" xfId="979" xr:uid="{00000000-0005-0000-0000-0000D8030000}"/>
    <cellStyle name="_Row1_Covenants_draft_260412" xfId="980" xr:uid="{00000000-0005-0000-0000-0000D9030000}"/>
    <cellStyle name="_Row1_DRAFT 11" xfId="981" xr:uid="{00000000-0005-0000-0000-0000DA030000}"/>
    <cellStyle name="_Row1_DRAFT 11_Covenants_draft_260412" xfId="982" xr:uid="{00000000-0005-0000-0000-0000DB030000}"/>
    <cellStyle name="_Row1_DRAFT 11_Marketing &amp; Product" xfId="983" xr:uid="{00000000-0005-0000-0000-0000DC030000}"/>
    <cellStyle name="_Row1_EBITDA-Recon P&amp;L OPSP04-08_GX" xfId="984" xr:uid="{00000000-0005-0000-0000-0000DD030000}"/>
    <cellStyle name="_Row1_Feeder" xfId="985" xr:uid="{00000000-0005-0000-0000-0000DE030000}"/>
    <cellStyle name="_Row1_Financial ratios_Euroland" xfId="986" xr:uid="{00000000-0005-0000-0000-0000DF030000}"/>
    <cellStyle name="_Row1_GX evaluation without pensions" xfId="987" xr:uid="{00000000-0005-0000-0000-0000E0030000}"/>
    <cellStyle name="_Row1_GX OPSP0509 incl. Zurückdrehen Subsidies NVM" xfId="988" xr:uid="{00000000-0005-0000-0000-0000E1030000}"/>
    <cellStyle name="_Row1_GX Plan" xfId="989" xr:uid="{00000000-0005-0000-0000-0000E2030000}"/>
    <cellStyle name="_Row1_Head Office Pack - Draft 1" xfId="990" xr:uid="{00000000-0005-0000-0000-0000E3030000}"/>
    <cellStyle name="_Row1_Head Office Pack - Draft 4" xfId="991" xr:uid="{00000000-0005-0000-0000-0000E4030000}"/>
    <cellStyle name="_Row1_Headcount" xfId="992" xr:uid="{00000000-0005-0000-0000-0000E5030000}"/>
    <cellStyle name="_Row1_Headcount_Monthly report" xfId="993" xr:uid="{00000000-0005-0000-0000-0000E6030000}"/>
    <cellStyle name="_Row1_Internal" xfId="994" xr:uid="{00000000-0005-0000-0000-0000E7030000}"/>
    <cellStyle name="_Row1_Internal 1" xfId="995" xr:uid="{00000000-0005-0000-0000-0000E8030000}"/>
    <cellStyle name="_Row1_Internal 1_Projections Pack" xfId="996" xr:uid="{00000000-0005-0000-0000-0000E9030000}"/>
    <cellStyle name="_Row1_Internal 1_Projections Pack (TM)" xfId="997" xr:uid="{00000000-0005-0000-0000-0000EA030000}"/>
    <cellStyle name="_Row1_Internal 1_Quasi Rent Illustration" xfId="998" xr:uid="{00000000-0005-0000-0000-0000EB030000}"/>
    <cellStyle name="_Row1_Internal_Projections Pack" xfId="999" xr:uid="{00000000-0005-0000-0000-0000EC030000}"/>
    <cellStyle name="_Row1_Internal_Projections Pack (TM)" xfId="1000" xr:uid="{00000000-0005-0000-0000-0000ED030000}"/>
    <cellStyle name="_Row1_Internal_Quasi Rent Illustration" xfId="1001" xr:uid="{00000000-0005-0000-0000-0000EE030000}"/>
    <cellStyle name="_Row1_IT Budget 2011" xfId="1002" xr:uid="{00000000-0005-0000-0000-0000EF030000}"/>
    <cellStyle name="_Row1_IT Budget Master 2011 - Draft V2 1 (2)" xfId="1003" xr:uid="{00000000-0005-0000-0000-0000F0030000}"/>
    <cellStyle name="_Row1_Konsolidierungsbeträge" xfId="1004" xr:uid="{00000000-0005-0000-0000-0000F1030000}"/>
    <cellStyle name="_Row1_LTMJUN02" xfId="1005" xr:uid="{00000000-0005-0000-0000-0000F2030000}"/>
    <cellStyle name="_Row1_M&amp;A Model" xfId="1006" xr:uid="{00000000-0005-0000-0000-0000F3030000}"/>
    <cellStyle name="_Row1_M&amp;A projections" xfId="1007" xr:uid="{00000000-0005-0000-0000-0000F4030000}"/>
    <cellStyle name="_Row1_MIS Reporting_Budget_JD" xfId="1008" xr:uid="{00000000-0005-0000-0000-0000F5030000}"/>
    <cellStyle name="_Row1_Net Gain Review Pack - 28th Sept" xfId="1009" xr:uid="{00000000-0005-0000-0000-0000F6030000}"/>
    <cellStyle name="_Row1_New Gerresheimer bank plan (sent to JPM 26 Nov 05)" xfId="1010" xr:uid="{00000000-0005-0000-0000-0000F7030000}"/>
    <cellStyle name="_Row1_P&amp;L bank model - received from Gerresheimer 1 12 05" xfId="1011" xr:uid="{00000000-0005-0000-0000-0000F8030000}"/>
    <cellStyle name="_Row1_PAR overlay" xfId="1012" xr:uid="{00000000-0005-0000-0000-0000F9030000}"/>
    <cellStyle name="_Row1_PAR overlay_Projections Pack" xfId="1013" xr:uid="{00000000-0005-0000-0000-0000FA030000}"/>
    <cellStyle name="_Row1_PAR overlay_Projections Pack (TM)" xfId="1014" xr:uid="{00000000-0005-0000-0000-0000FB030000}"/>
    <cellStyle name="_Row1_PAR overlay_Quasi Rent Illustration" xfId="1015" xr:uid="{00000000-0005-0000-0000-0000FC030000}"/>
    <cellStyle name="_Row1_Plan model" xfId="1016" xr:uid="{00000000-0005-0000-0000-0000FD030000}"/>
    <cellStyle name="_Row1_Property Budget 2011" xfId="1017" xr:uid="{00000000-0005-0000-0000-0000FE030000}"/>
    <cellStyle name="_Row1_Property Budget 2011_Covenants_draft_260412" xfId="1018" xr:uid="{00000000-0005-0000-0000-0000FF030000}"/>
    <cellStyle name="_Row1_Property Budget 2011_Marketing &amp; Product" xfId="1019" xr:uid="{00000000-0005-0000-0000-000000040000}"/>
    <cellStyle name="_Row1_Quarterly" xfId="1020" xr:uid="{00000000-0005-0000-0000-000001040000}"/>
    <cellStyle name="_Row1_Sceanrio 2 Update - Dec 2nd" xfId="1021" xr:uid="{00000000-0005-0000-0000-000002040000}"/>
    <cellStyle name="_Row1_Sceanrio 2 Update - Dec 2nd_Projections Pack" xfId="1022" xr:uid="{00000000-0005-0000-0000-000003040000}"/>
    <cellStyle name="_Row1_Sceanrio 2 Update - Dec 2nd_Projections Pack (TM)" xfId="1023" xr:uid="{00000000-0005-0000-0000-000004040000}"/>
    <cellStyle name="_Row1_Sceanrio 2 Update - Dec 2nd_Quasi Rent Illustration" xfId="1024" xr:uid="{00000000-0005-0000-0000-000005040000}"/>
    <cellStyle name="_Row1_Sheet1" xfId="1025" xr:uid="{00000000-0005-0000-0000-000006040000}"/>
    <cellStyle name="_Row1_Tabelle1" xfId="1026" xr:uid="{00000000-0005-0000-0000-000007040000}"/>
    <cellStyle name="_Row1_TSG2" xfId="1027" xr:uid="{00000000-0005-0000-0000-000008040000}"/>
    <cellStyle name="_Row1_Update 2004 Figures v2 (sent to banks)" xfId="1028" xr:uid="{00000000-0005-0000-0000-000009040000}"/>
    <cellStyle name="_Row1_WC benchmark Calc" xfId="1029" xr:uid="{00000000-0005-0000-0000-00000A040000}"/>
    <cellStyle name="_Row1_YLC" xfId="1030" xr:uid="{00000000-0005-0000-0000-00000B040000}"/>
    <cellStyle name="_Row1_Zins und Bankschuldenberechnung_03_07" xfId="1031" xr:uid="{00000000-0005-0000-0000-00000C040000}"/>
    <cellStyle name="_Row10" xfId="976" xr:uid="{00000000-0005-0000-0000-0000D5030000}"/>
    <cellStyle name="_Row2" xfId="1032" xr:uid="{00000000-0005-0000-0000-00000D040000}"/>
    <cellStyle name="_Row2_051003 Viking Business plan" xfId="1033" xr:uid="{00000000-0005-0000-0000-00000E040000}"/>
    <cellStyle name="_Row2_051004 Viking Business plan10" xfId="1034" xr:uid="{00000000-0005-0000-0000-00000F040000}"/>
    <cellStyle name="_Row2_Aurora LBO v25" xfId="1035" xr:uid="{00000000-0005-0000-0000-000010040000}"/>
    <cellStyle name="_Row2_Balance Sheet_restl. Eurowährungsl._Gruppe" xfId="1036" xr:uid="{00000000-0005-0000-0000-000011040000}"/>
    <cellStyle name="_Row2_Bank case Viking (sent to JPM 10 Nov 05)" xfId="1037" xr:uid="{00000000-0005-0000-0000-000012040000}"/>
    <cellStyle name="_Row2_Cost Price Assumptions OPSP0509 vs OPSP0610" xfId="1038" xr:uid="{00000000-0005-0000-0000-000013040000}"/>
    <cellStyle name="_Row2_Feeder" xfId="1039" xr:uid="{00000000-0005-0000-0000-000014040000}"/>
    <cellStyle name="_Row2_FY 2005-2009 OP-SP Update (11-Oct-04)" xfId="1040" xr:uid="{00000000-0005-0000-0000-000015040000}"/>
    <cellStyle name="_Row2_Key assumptions GX companies" xfId="1041" xr:uid="{00000000-0005-0000-0000-000016040000}"/>
    <cellStyle name="_Row2_M&amp;A Model" xfId="1042" xr:uid="{00000000-0005-0000-0000-000017040000}"/>
    <cellStyle name="_Row2_M&amp;A projections" xfId="1043" xr:uid="{00000000-0005-0000-0000-000018040000}"/>
    <cellStyle name="_Row2_Mappe2" xfId="1044" xr:uid="{00000000-0005-0000-0000-000019040000}"/>
    <cellStyle name="_Row2_MIS Reporting_Budget_OPSP 06-10" xfId="1045" xr:uid="{00000000-0005-0000-0000-00001A040000}"/>
    <cellStyle name="_Row2_TSG2" xfId="1046" xr:uid="{00000000-0005-0000-0000-00001B040000}"/>
    <cellStyle name="_Row3" xfId="1047" xr:uid="{00000000-0005-0000-0000-00001C040000}"/>
    <cellStyle name="_Row3_051003 Viking Business plan" xfId="1048" xr:uid="{00000000-0005-0000-0000-00001D040000}"/>
    <cellStyle name="_Row3_051004 Viking Business plan10" xfId="1049" xr:uid="{00000000-0005-0000-0000-00001E040000}"/>
    <cellStyle name="_Row3_Balance Sheet_restl. Eurowährungsl._Gruppe" xfId="1050" xr:uid="{00000000-0005-0000-0000-00001F040000}"/>
    <cellStyle name="_Row3_Bank case Viking (sent to JPM 10 Nov 05)" xfId="1051" xr:uid="{00000000-0005-0000-0000-000020040000}"/>
    <cellStyle name="_Row3_Cost Price Assumptions OPSP0509 vs OPSP0610" xfId="1052" xr:uid="{00000000-0005-0000-0000-000021040000}"/>
    <cellStyle name="_Row3_Feeder" xfId="1053" xr:uid="{00000000-0005-0000-0000-000022040000}"/>
    <cellStyle name="_Row3_FY 2005-2009 OP-SP Update (11-Oct-04)" xfId="1054" xr:uid="{00000000-0005-0000-0000-000023040000}"/>
    <cellStyle name="_Row3_Key assumptions GX companies" xfId="1055" xr:uid="{00000000-0005-0000-0000-000024040000}"/>
    <cellStyle name="_Row3_M&amp;A Model" xfId="1056" xr:uid="{00000000-0005-0000-0000-000025040000}"/>
    <cellStyle name="_Row3_M&amp;A projections" xfId="1057" xr:uid="{00000000-0005-0000-0000-000026040000}"/>
    <cellStyle name="_Row3_Mappe2" xfId="1058" xr:uid="{00000000-0005-0000-0000-000027040000}"/>
    <cellStyle name="_Row3_MIS Reporting_Budget_OPSP 06-10" xfId="1059" xr:uid="{00000000-0005-0000-0000-000028040000}"/>
    <cellStyle name="_Row3_TSG2" xfId="1060" xr:uid="{00000000-0005-0000-0000-000029040000}"/>
    <cellStyle name="_Row4" xfId="1061" xr:uid="{00000000-0005-0000-0000-00002A040000}"/>
    <cellStyle name="_Row4_021202External Sales 2000_2001_DA_feste Werte" xfId="1062" xr:uid="{00000000-0005-0000-0000-00002B040000}"/>
    <cellStyle name="_Row4_051003 Viking Business plan" xfId="1063" xr:uid="{00000000-0005-0000-0000-00002C040000}"/>
    <cellStyle name="_Row4_051004 Viking Business plan10" xfId="1064" xr:uid="{00000000-0005-0000-0000-00002D040000}"/>
    <cellStyle name="_Row4_3. Version 4 Bank" xfId="1065" xr:uid="{00000000-0005-0000-0000-00002E040000}"/>
    <cellStyle name="_Row4_3. Version 4 Bank new segments" xfId="1066" xr:uid="{00000000-0005-0000-0000-00002F040000}"/>
    <cellStyle name="_Row4_4. Version 4 Bank new segments with rollout" xfId="1067" xr:uid="{00000000-0005-0000-0000-000030040000}"/>
    <cellStyle name="_Row4_4. Version 4 Bank with Rollout" xfId="1068" xr:uid="{00000000-0005-0000-0000-000031040000}"/>
    <cellStyle name="_Row4_Bank case Viking (sent to JPM 10 Nov 05)" xfId="1069" xr:uid="{00000000-0005-0000-0000-000032040000}"/>
    <cellStyle name="_Row4_Cost Price Assumptions OPSP0509 vs OPSP0610" xfId="1070" xr:uid="{00000000-0005-0000-0000-000033040000}"/>
    <cellStyle name="_Row4_DRAFT 11" xfId="1071" xr:uid="{00000000-0005-0000-0000-000034040000}"/>
    <cellStyle name="_Row4_Feeder" xfId="1072" xr:uid="{00000000-0005-0000-0000-000035040000}"/>
    <cellStyle name="_Row4_FY 2005-2009 OP-SP Update (11-Oct-04)" xfId="1073" xr:uid="{00000000-0005-0000-0000-000036040000}"/>
    <cellStyle name="_Row4_IT Budget 2011" xfId="1074" xr:uid="{00000000-0005-0000-0000-000037040000}"/>
    <cellStyle name="_Row4_IT Budget Master 2011 - Draft V2 1 (2)" xfId="1075" xr:uid="{00000000-0005-0000-0000-000038040000}"/>
    <cellStyle name="_Row4_Key assumptions GX companies" xfId="1076" xr:uid="{00000000-0005-0000-0000-000039040000}"/>
    <cellStyle name="_Row4_Konsolidierungsbeträge" xfId="1077" xr:uid="{00000000-0005-0000-0000-00003A040000}"/>
    <cellStyle name="_Row4_M&amp;A Model" xfId="1078" xr:uid="{00000000-0005-0000-0000-00003B040000}"/>
    <cellStyle name="_Row4_M&amp;A projections" xfId="1079" xr:uid="{00000000-0005-0000-0000-00003C040000}"/>
    <cellStyle name="_Row4_Mappe2" xfId="1080" xr:uid="{00000000-0005-0000-0000-00003D040000}"/>
    <cellStyle name="_Row4_MIS Reporting_Budget_OPSP 06-10" xfId="1081" xr:uid="{00000000-0005-0000-0000-00003E040000}"/>
    <cellStyle name="_Row4_Net Gain Review Pack - 28th Sept" xfId="1082" xr:uid="{00000000-0005-0000-0000-00003F040000}"/>
    <cellStyle name="_Row4_PAR overlay" xfId="1083" xr:uid="{00000000-0005-0000-0000-000040040000}"/>
    <cellStyle name="_Row4_TSG2" xfId="1084" xr:uid="{00000000-0005-0000-0000-000041040000}"/>
    <cellStyle name="_Row4_UBS Model" xfId="1085" xr:uid="{00000000-0005-0000-0000-000042040000}"/>
    <cellStyle name="_Row4_UBS Model - upside model" xfId="1086" xr:uid="{00000000-0005-0000-0000-000043040000}"/>
    <cellStyle name="_Row5" xfId="1087" xr:uid="{00000000-0005-0000-0000-000044040000}"/>
    <cellStyle name="_Row5_021202External Sales 2000_2001_DA_feste Werte" xfId="1088" xr:uid="{00000000-0005-0000-0000-000045040000}"/>
    <cellStyle name="_Row5_051003 Viking Business plan" xfId="1089" xr:uid="{00000000-0005-0000-0000-000046040000}"/>
    <cellStyle name="_Row5_051004 Viking Business plan10" xfId="1090" xr:uid="{00000000-0005-0000-0000-000047040000}"/>
    <cellStyle name="_Row5_Balance Sheet_restl. Eurowährungsl._Gruppe" xfId="1091" xr:uid="{00000000-0005-0000-0000-000048040000}"/>
    <cellStyle name="_Row5_Bank case Viking (sent to JPM 10 Nov 05)" xfId="1092" xr:uid="{00000000-0005-0000-0000-000049040000}"/>
    <cellStyle name="_Row5_Cost Price Assumptions OPSP0509 vs OPSP0610" xfId="1093" xr:uid="{00000000-0005-0000-0000-00004A040000}"/>
    <cellStyle name="_Row5_Feeder" xfId="1094" xr:uid="{00000000-0005-0000-0000-00004B040000}"/>
    <cellStyle name="_Row5_FY 2005-2009 OP-SP Update (11-Oct-04)" xfId="1095" xr:uid="{00000000-0005-0000-0000-00004C040000}"/>
    <cellStyle name="_Row5_Key assumptions GX companies" xfId="1096" xr:uid="{00000000-0005-0000-0000-00004D040000}"/>
    <cellStyle name="_Row5_M&amp;A Model" xfId="1097" xr:uid="{00000000-0005-0000-0000-00004E040000}"/>
    <cellStyle name="_Row5_M&amp;A projections" xfId="1098" xr:uid="{00000000-0005-0000-0000-00004F040000}"/>
    <cellStyle name="_Row5_Mappe2" xfId="1099" xr:uid="{00000000-0005-0000-0000-000050040000}"/>
    <cellStyle name="_Row5_MIS Reporting_Budget_OPSP 06-10" xfId="1100" xr:uid="{00000000-0005-0000-0000-000051040000}"/>
    <cellStyle name="_Row5_TSG2" xfId="1101" xr:uid="{00000000-0005-0000-0000-000052040000}"/>
    <cellStyle name="_Row6" xfId="1102" xr:uid="{00000000-0005-0000-0000-000053040000}"/>
    <cellStyle name="_Row6_021202External Sales 2000_2001_DA_feste Werte" xfId="1103" xr:uid="{00000000-0005-0000-0000-000054040000}"/>
    <cellStyle name="_Row6_051003 Viking Business plan" xfId="1104" xr:uid="{00000000-0005-0000-0000-000055040000}"/>
    <cellStyle name="_Row6_051004 Viking Business plan10" xfId="1105" xr:uid="{00000000-0005-0000-0000-000056040000}"/>
    <cellStyle name="_Row6_Balance Sheet_restl. Eurowährungsl._Gruppe" xfId="1106" xr:uid="{00000000-0005-0000-0000-000057040000}"/>
    <cellStyle name="_Row6_Bank case Viking (sent to JPM 10 Nov 05)" xfId="1107" xr:uid="{00000000-0005-0000-0000-000058040000}"/>
    <cellStyle name="_Row6_Cost Price Assumptions OPSP0509 vs OPSP0610" xfId="1108" xr:uid="{00000000-0005-0000-0000-000059040000}"/>
    <cellStyle name="_Row6_Feeder" xfId="1109" xr:uid="{00000000-0005-0000-0000-00005A040000}"/>
    <cellStyle name="_Row6_FY 2005-2009 OP-SP Update (11-Oct-04)" xfId="1110" xr:uid="{00000000-0005-0000-0000-00005B040000}"/>
    <cellStyle name="_Row6_Key assumptions GX companies" xfId="1111" xr:uid="{00000000-0005-0000-0000-00005C040000}"/>
    <cellStyle name="_Row6_M&amp;A Model" xfId="1112" xr:uid="{00000000-0005-0000-0000-00005D040000}"/>
    <cellStyle name="_Row6_M&amp;A projections" xfId="1113" xr:uid="{00000000-0005-0000-0000-00005E040000}"/>
    <cellStyle name="_Row6_Mappe2" xfId="1114" xr:uid="{00000000-0005-0000-0000-00005F040000}"/>
    <cellStyle name="_Row6_MIS Reporting_Budget_OPSP 06-10" xfId="1115" xr:uid="{00000000-0005-0000-0000-000060040000}"/>
    <cellStyle name="_Row6_TSG2" xfId="1116" xr:uid="{00000000-0005-0000-0000-000061040000}"/>
    <cellStyle name="_Row7" xfId="1117" xr:uid="{00000000-0005-0000-0000-000062040000}"/>
    <cellStyle name="_Row7_021202External Sales 2000_2001_DA_feste Werte" xfId="1118" xr:uid="{00000000-0005-0000-0000-000063040000}"/>
    <cellStyle name="_Row7_051003 Viking Business plan" xfId="1119" xr:uid="{00000000-0005-0000-0000-000064040000}"/>
    <cellStyle name="_Row7_051004 Viking Business plan10" xfId="1120" xr:uid="{00000000-0005-0000-0000-000065040000}"/>
    <cellStyle name="_Row7_3. Version 4 Bank" xfId="1121" xr:uid="{00000000-0005-0000-0000-000066040000}"/>
    <cellStyle name="_Row7_3. Version 4 Bank new segments" xfId="1122" xr:uid="{00000000-0005-0000-0000-000067040000}"/>
    <cellStyle name="_Row7_4. Version 4 Bank new segments with rollout" xfId="1123" xr:uid="{00000000-0005-0000-0000-000068040000}"/>
    <cellStyle name="_Row7_4. Version 4 Bank with Rollout" xfId="1124" xr:uid="{00000000-0005-0000-0000-000069040000}"/>
    <cellStyle name="_Row7_Balance Sheet_restl. Eurowährungsl._Gruppe" xfId="1125" xr:uid="{00000000-0005-0000-0000-00006A040000}"/>
    <cellStyle name="_Row7_Bank case Viking (sent to JPM 10 Nov 05)" xfId="1126" xr:uid="{00000000-0005-0000-0000-00006B040000}"/>
    <cellStyle name="_Row7_Cost Price Assumptions OPSP0509 vs OPSP0610" xfId="1127" xr:uid="{00000000-0005-0000-0000-00006C040000}"/>
    <cellStyle name="_Row7_Feeder" xfId="1128" xr:uid="{00000000-0005-0000-0000-00006D040000}"/>
    <cellStyle name="_Row7_FY 2005-2009 OP-SP Update (11-Oct-04)" xfId="1129" xr:uid="{00000000-0005-0000-0000-00006E040000}"/>
    <cellStyle name="_Row7_Key assumptions GX companies" xfId="1130" xr:uid="{00000000-0005-0000-0000-00006F040000}"/>
    <cellStyle name="_Row7_Konsolidierungsbeträge" xfId="1131" xr:uid="{00000000-0005-0000-0000-000070040000}"/>
    <cellStyle name="_Row7_M&amp;A Model" xfId="1132" xr:uid="{00000000-0005-0000-0000-000071040000}"/>
    <cellStyle name="_Row7_M&amp;A projections" xfId="1133" xr:uid="{00000000-0005-0000-0000-000072040000}"/>
    <cellStyle name="_Row7_Mappe2" xfId="1134" xr:uid="{00000000-0005-0000-0000-000073040000}"/>
    <cellStyle name="_Row7_MIS Reporting_Budget_OPSP 06-10" xfId="1135" xr:uid="{00000000-0005-0000-0000-000074040000}"/>
    <cellStyle name="_Row7_PAR overlay" xfId="1136" xr:uid="{00000000-0005-0000-0000-000075040000}"/>
    <cellStyle name="_Row7_TSG2" xfId="1137" xr:uid="{00000000-0005-0000-0000-000076040000}"/>
    <cellStyle name="_Row7_UBS Model" xfId="1138" xr:uid="{00000000-0005-0000-0000-000077040000}"/>
    <cellStyle name="_Row7_UBS Model - upside model" xfId="1139" xr:uid="{00000000-0005-0000-0000-000078040000}"/>
    <cellStyle name="_Row8" xfId="1140" xr:uid="{00000000-0005-0000-0000-000079040000}"/>
    <cellStyle name="_Row8_021202External Sales 2000_2001_DA_feste Werte" xfId="1141" xr:uid="{00000000-0005-0000-0000-00007A040000}"/>
    <cellStyle name="_Row8_Balance Sheet_restl. Eurowährungsl._Gruppe" xfId="1142" xr:uid="{00000000-0005-0000-0000-00007B040000}"/>
    <cellStyle name="_Row8_Konsolidierungsbeträge" xfId="1143" xr:uid="{00000000-0005-0000-0000-00007C040000}"/>
    <cellStyle name="_SAB_standalone" xfId="1144" xr:uid="{00000000-0005-0000-0000-00007D040000}"/>
    <cellStyle name="_Scotland &amp; North West" xfId="1145" xr:uid="{00000000-0005-0000-0000-00007E040000}"/>
    <cellStyle name="_Scotland &amp; North West_Covenants_draft_260412" xfId="1146" xr:uid="{00000000-0005-0000-0000-00007F040000}"/>
    <cellStyle name="_Scotland &amp; North West_Head Office Pack - Draft 1" xfId="1147" xr:uid="{00000000-0005-0000-0000-000080040000}"/>
    <cellStyle name="_Scotland &amp; North West_Head Office Pack - Draft 4" xfId="1148" xr:uid="{00000000-0005-0000-0000-000081040000}"/>
    <cellStyle name="_Scotland &amp; North West_Property Budget 2011" xfId="1149" xr:uid="{00000000-0005-0000-0000-000082040000}"/>
    <cellStyle name="_Scotland &amp; North West_Property Budget 2011_Covenants_draft_260412" xfId="1150" xr:uid="{00000000-0005-0000-0000-000083040000}"/>
    <cellStyle name="_Scotland &amp; North West_Property Budget 2011_Marketing &amp; Product" xfId="1151" xr:uid="{00000000-0005-0000-0000-000084040000}"/>
    <cellStyle name="_Scotland &amp; North West_Sheet1" xfId="1152" xr:uid="{00000000-0005-0000-0000-000085040000}"/>
    <cellStyle name="_Section 1 2009" xfId="1153" xr:uid="{00000000-0005-0000-0000-000086040000}"/>
    <cellStyle name="_Section 4 2009 Group 1" xfId="1154" xr:uid="{00000000-0005-0000-0000-000087040000}"/>
    <cellStyle name="_Section 5 2009 Group 1" xfId="1155" xr:uid="{00000000-0005-0000-0000-000088040000}"/>
    <cellStyle name="_Section 5 2009 Group 5" xfId="1156" xr:uid="{00000000-0005-0000-0000-000089040000}"/>
    <cellStyle name="_SECTION 7 - Summary P&amp;L with Graphs" xfId="1157" xr:uid="{00000000-0005-0000-0000-00008A040000}"/>
    <cellStyle name="_SECTION 7 - Summary P&amp;L with Graphs_Book2" xfId="1158" xr:uid="{00000000-0005-0000-0000-00008B040000}"/>
    <cellStyle name="_SECTION 7 - Summary P&amp;L with Graphs_Covenants_draft_260412" xfId="1159" xr:uid="{00000000-0005-0000-0000-00008C040000}"/>
    <cellStyle name="_SECTION 7 - Summary P&amp;L with Graphs_DRAFT 11" xfId="1160" xr:uid="{00000000-0005-0000-0000-00008D040000}"/>
    <cellStyle name="_SECTION 7 - Summary P&amp;L with Graphs_DRAFT 11_Covenants_draft_260412" xfId="1161" xr:uid="{00000000-0005-0000-0000-00008E040000}"/>
    <cellStyle name="_SECTION 7 - Summary P&amp;L with Graphs_DRAFT 11_Marketing &amp; Product" xfId="1162" xr:uid="{00000000-0005-0000-0000-00008F040000}"/>
    <cellStyle name="_SECTION 7 - Summary P&amp;L with Graphs_Head Office Pack - Draft 1" xfId="1163" xr:uid="{00000000-0005-0000-0000-000090040000}"/>
    <cellStyle name="_SECTION 7 - Summary P&amp;L with Graphs_Head Office Pack - Draft 4" xfId="1164" xr:uid="{00000000-0005-0000-0000-000091040000}"/>
    <cellStyle name="_SECTION 7 - Summary P&amp;L with Graphs_Internal" xfId="1165" xr:uid="{00000000-0005-0000-0000-000092040000}"/>
    <cellStyle name="_SECTION 7 - Summary P&amp;L with Graphs_Internal 1" xfId="1166" xr:uid="{00000000-0005-0000-0000-000093040000}"/>
    <cellStyle name="_SECTION 7 - Summary P&amp;L with Graphs_Internal 1_Projections Pack" xfId="1167" xr:uid="{00000000-0005-0000-0000-000094040000}"/>
    <cellStyle name="_SECTION 7 - Summary P&amp;L with Graphs_Internal 1_Projections Pack (TM)" xfId="1168" xr:uid="{00000000-0005-0000-0000-000095040000}"/>
    <cellStyle name="_SECTION 7 - Summary P&amp;L with Graphs_Internal 1_Quasi Rent Illustration" xfId="1169" xr:uid="{00000000-0005-0000-0000-000096040000}"/>
    <cellStyle name="_SECTION 7 - Summary P&amp;L with Graphs_Internal_Projections Pack" xfId="1170" xr:uid="{00000000-0005-0000-0000-000097040000}"/>
    <cellStyle name="_SECTION 7 - Summary P&amp;L with Graphs_Internal_Projections Pack (TM)" xfId="1171" xr:uid="{00000000-0005-0000-0000-000098040000}"/>
    <cellStyle name="_SECTION 7 - Summary P&amp;L with Graphs_Internal_Quasi Rent Illustration" xfId="1172" xr:uid="{00000000-0005-0000-0000-000099040000}"/>
    <cellStyle name="_SECTION 7 - Summary P&amp;L with Graphs_IT Budget 2011" xfId="1173" xr:uid="{00000000-0005-0000-0000-00009A040000}"/>
    <cellStyle name="_SECTION 7 - Summary P&amp;L with Graphs_IT Budget Master 2011 - Draft V2 1 (2)" xfId="1174" xr:uid="{00000000-0005-0000-0000-00009B040000}"/>
    <cellStyle name="_SECTION 7 - Summary P&amp;L with Graphs_Net Gain Review Pack - 28th Sept" xfId="1175" xr:uid="{00000000-0005-0000-0000-00009C040000}"/>
    <cellStyle name="_SECTION 7 - Summary P&amp;L with Graphs_PAR overlay" xfId="1176" xr:uid="{00000000-0005-0000-0000-00009D040000}"/>
    <cellStyle name="_SECTION 7 - Summary P&amp;L with Graphs_PAR overlay_Projections Pack" xfId="1177" xr:uid="{00000000-0005-0000-0000-00009E040000}"/>
    <cellStyle name="_SECTION 7 - Summary P&amp;L with Graphs_PAR overlay_Projections Pack (TM)" xfId="1178" xr:uid="{00000000-0005-0000-0000-00009F040000}"/>
    <cellStyle name="_SECTION 7 - Summary P&amp;L with Graphs_PAR overlay_Quasi Rent Illustration" xfId="1179" xr:uid="{00000000-0005-0000-0000-0000A0040000}"/>
    <cellStyle name="_SECTION 7 - Summary P&amp;L with Graphs_Property Budget 2011" xfId="1180" xr:uid="{00000000-0005-0000-0000-0000A1040000}"/>
    <cellStyle name="_SECTION 7 - Summary P&amp;L with Graphs_Property Budget 2011_Covenants_draft_260412" xfId="1181" xr:uid="{00000000-0005-0000-0000-0000A2040000}"/>
    <cellStyle name="_SECTION 7 - Summary P&amp;L with Graphs_Property Budget 2011_Marketing &amp; Product" xfId="1182" xr:uid="{00000000-0005-0000-0000-0000A3040000}"/>
    <cellStyle name="_SECTION 7 - Summary P&amp;L with Graphs_Sceanrio 2 Update - Dec 2nd" xfId="1183" xr:uid="{00000000-0005-0000-0000-0000A4040000}"/>
    <cellStyle name="_SECTION 7 - Summary P&amp;L with Graphs_Sceanrio 2 Update - Dec 2nd_Projections Pack" xfId="1184" xr:uid="{00000000-0005-0000-0000-0000A5040000}"/>
    <cellStyle name="_SECTION 7 - Summary P&amp;L with Graphs_Sceanrio 2 Update - Dec 2nd_Projections Pack (TM)" xfId="1185" xr:uid="{00000000-0005-0000-0000-0000A6040000}"/>
    <cellStyle name="_SECTION 7 - Summary P&amp;L with Graphs_Sceanrio 2 Update - Dec 2nd_Quasi Rent Illustration" xfId="1186" xr:uid="{00000000-0005-0000-0000-0000A7040000}"/>
    <cellStyle name="_SECTION 7 - Summary P&amp;L with Graphs_Sheet1" xfId="1187" xr:uid="{00000000-0005-0000-0000-0000A8040000}"/>
    <cellStyle name="_SECTION 7 - Summary P&amp;L with Graphs_YLC" xfId="1188" xr:uid="{00000000-0005-0000-0000-0000A9040000}"/>
    <cellStyle name="_source" xfId="1189" xr:uid="{00000000-0005-0000-0000-0000AA040000}"/>
    <cellStyle name="_source_03_ Clean LBO Model" xfId="1190" xr:uid="{00000000-0005-0000-0000-0000AB040000}"/>
    <cellStyle name="_source_05_ Clean LBO Model" xfId="1191" xr:uid="{00000000-0005-0000-0000-0000AC040000}"/>
    <cellStyle name="_source_08 Valuation Model incl. new BP" xfId="1192" xr:uid="{00000000-0005-0000-0000-0000AD040000}"/>
    <cellStyle name="_source_09 Valuation Model incl. new BP" xfId="1193" xr:uid="{00000000-0005-0000-0000-0000AE040000}"/>
    <cellStyle name="_source_13 Valuation Model incl. new BP" xfId="1194" xr:uid="{00000000-0005-0000-0000-0000AF040000}"/>
    <cellStyle name="_source_14 Valuation Model incl. new BP" xfId="1195" xr:uid="{00000000-0005-0000-0000-0000B0040000}"/>
    <cellStyle name="_source_15_ Clean LBO Model" xfId="1196" xr:uid="{00000000-0005-0000-0000-0000B1040000}"/>
    <cellStyle name="_source_20 Valuation Model incl. new BP" xfId="1197" xr:uid="{00000000-0005-0000-0000-0000B2040000}"/>
    <cellStyle name="_source_25 Valuation Model incl. new BP" xfId="1198" xr:uid="{00000000-0005-0000-0000-0000B3040000}"/>
    <cellStyle name="_source_33 Valuation Model incl. new BP" xfId="1199" xr:uid="{00000000-0005-0000-0000-0000B4040000}"/>
    <cellStyle name="_source_34 Valuation Model incl. new BP" xfId="1200" xr:uid="{00000000-0005-0000-0000-0000B5040000}"/>
    <cellStyle name="_source_37 Valuation Model incl. new BP" xfId="1201" xr:uid="{00000000-0005-0000-0000-0000B6040000}"/>
    <cellStyle name="_source_38 Valuation Model incl. new BP" xfId="1202" xr:uid="{00000000-0005-0000-0000-0000B7040000}"/>
    <cellStyle name="_source_39 Valuation Model incl. new BP" xfId="1203" xr:uid="{00000000-0005-0000-0000-0000B8040000}"/>
    <cellStyle name="_source_40 Valuation Model incl. new BP" xfId="1204" xr:uid="{00000000-0005-0000-0000-0000B9040000}"/>
    <cellStyle name="_source_44 Valuation Model incl. new BP" xfId="1205" xr:uid="{00000000-0005-0000-0000-0000BA040000}"/>
    <cellStyle name="_South East" xfId="1206" xr:uid="{00000000-0005-0000-0000-0000BB040000}"/>
    <cellStyle name="_South East_Covenants_draft_260412" xfId="1207" xr:uid="{00000000-0005-0000-0000-0000BC040000}"/>
    <cellStyle name="_South East_Head Office Pack - Draft 1" xfId="1208" xr:uid="{00000000-0005-0000-0000-0000BD040000}"/>
    <cellStyle name="_South East_Head Office Pack - Draft 4" xfId="1209" xr:uid="{00000000-0005-0000-0000-0000BE040000}"/>
    <cellStyle name="_South East_Property Budget 2011" xfId="1210" xr:uid="{00000000-0005-0000-0000-0000BF040000}"/>
    <cellStyle name="_South East_Property Budget 2011_Covenants_draft_260412" xfId="1211" xr:uid="{00000000-0005-0000-0000-0000C0040000}"/>
    <cellStyle name="_South East_Property Budget 2011_Marketing &amp; Product" xfId="1212" xr:uid="{00000000-0005-0000-0000-0000C1040000}"/>
    <cellStyle name="_South East_Sheet1" xfId="1213" xr:uid="{00000000-0005-0000-0000-0000C2040000}"/>
    <cellStyle name="_South West &amp; Surrey" xfId="1214" xr:uid="{00000000-0005-0000-0000-0000C3040000}"/>
    <cellStyle name="_South West &amp; Surrey_Covenants_draft_260412" xfId="1215" xr:uid="{00000000-0005-0000-0000-0000C4040000}"/>
    <cellStyle name="_South West &amp; Surrey_Head Office Pack - Draft 1" xfId="1216" xr:uid="{00000000-0005-0000-0000-0000C5040000}"/>
    <cellStyle name="_South West &amp; Surrey_Head Office Pack - Draft 4" xfId="1217" xr:uid="{00000000-0005-0000-0000-0000C6040000}"/>
    <cellStyle name="_South West &amp; Surrey_Property Budget 2011" xfId="1218" xr:uid="{00000000-0005-0000-0000-0000C7040000}"/>
    <cellStyle name="_South West &amp; Surrey_Property Budget 2011_Covenants_draft_260412" xfId="1219" xr:uid="{00000000-0005-0000-0000-0000C8040000}"/>
    <cellStyle name="_South West &amp; Surrey_Property Budget 2011_Marketing &amp; Product" xfId="1220" xr:uid="{00000000-0005-0000-0000-0000C9040000}"/>
    <cellStyle name="_South West &amp; Surrey_Sheet1" xfId="1221" xr:uid="{00000000-0005-0000-0000-0000CA040000}"/>
    <cellStyle name="_SubHeading" xfId="1222" xr:uid="{00000000-0005-0000-0000-0000CB040000}"/>
    <cellStyle name="_SubHeading_01 Capital Structure" xfId="1223" xr:uid="{00000000-0005-0000-0000-0000CC040000}"/>
    <cellStyle name="_SubHeading_01 Capital Structure_03_ Clean LBO Model" xfId="1224" xr:uid="{00000000-0005-0000-0000-0000CD040000}"/>
    <cellStyle name="_SubHeading_01 Capital Structure_05_ Clean LBO Model" xfId="1225" xr:uid="{00000000-0005-0000-0000-0000CE040000}"/>
    <cellStyle name="_SubHeading_01 Capital Structure_08 Valuation Model incl. new BP" xfId="1226" xr:uid="{00000000-0005-0000-0000-0000CF040000}"/>
    <cellStyle name="_SubHeading_01 Capital Structure_09 Valuation Model incl. new BP" xfId="1227" xr:uid="{00000000-0005-0000-0000-0000D0040000}"/>
    <cellStyle name="_SubHeading_01 Capital Structure_13 Valuation Model incl. new BP" xfId="1228" xr:uid="{00000000-0005-0000-0000-0000D1040000}"/>
    <cellStyle name="_SubHeading_01 Capital Structure_14 Valuation Model incl. new BP" xfId="1229" xr:uid="{00000000-0005-0000-0000-0000D2040000}"/>
    <cellStyle name="_SubHeading_01 Capital Structure_15_ Clean LBO Model" xfId="1230" xr:uid="{00000000-0005-0000-0000-0000D3040000}"/>
    <cellStyle name="_SubHeading_01 Capital Structure_20 Valuation Model incl. new BP" xfId="1231" xr:uid="{00000000-0005-0000-0000-0000D4040000}"/>
    <cellStyle name="_SubHeading_01 Capital Structure_25 Valuation Model incl. new BP" xfId="1232" xr:uid="{00000000-0005-0000-0000-0000D5040000}"/>
    <cellStyle name="_SubHeading_01 Capital Structure_33 Valuation Model incl. new BP" xfId="1233" xr:uid="{00000000-0005-0000-0000-0000D6040000}"/>
    <cellStyle name="_SubHeading_01 Capital Structure_34 Valuation Model incl. new BP" xfId="1234" xr:uid="{00000000-0005-0000-0000-0000D7040000}"/>
    <cellStyle name="_SubHeading_01 Capital Structure_37 Valuation Model incl. new BP" xfId="1235" xr:uid="{00000000-0005-0000-0000-0000D8040000}"/>
    <cellStyle name="_SubHeading_01 Capital Structure_38 Valuation Model incl. new BP" xfId="1236" xr:uid="{00000000-0005-0000-0000-0000D9040000}"/>
    <cellStyle name="_SubHeading_01 Capital Structure_39 Valuation Model incl. new BP" xfId="1237" xr:uid="{00000000-0005-0000-0000-0000DA040000}"/>
    <cellStyle name="_SubHeading_01 Capital Structure_40 Valuation Model incl. new BP" xfId="1238" xr:uid="{00000000-0005-0000-0000-0000DB040000}"/>
    <cellStyle name="_SubHeading_01 Capital Structure_44 Valuation Model incl. new BP" xfId="1239" xr:uid="{00000000-0005-0000-0000-0000DC040000}"/>
    <cellStyle name="_SubHeading_01 Offering Breakdown" xfId="1240" xr:uid="{00000000-0005-0000-0000-0000DD040000}"/>
    <cellStyle name="_SubHeading_02 DCF" xfId="1241" xr:uid="{00000000-0005-0000-0000-0000DE040000}"/>
    <cellStyle name="_SubHeading_02 Enersys Merger Plan" xfId="1242" xr:uid="{00000000-0005-0000-0000-0000DF040000}"/>
    <cellStyle name="_SubHeading_02 Enersys Merger Plan_03_ Clean LBO Model" xfId="1243" xr:uid="{00000000-0005-0000-0000-0000E0040000}"/>
    <cellStyle name="_SubHeading_02 Enersys Merger Plan_05_ Clean LBO Model" xfId="1244" xr:uid="{00000000-0005-0000-0000-0000E1040000}"/>
    <cellStyle name="_SubHeading_02 Enersys Merger Plan_08 Valuation Model incl. new BP" xfId="1245" xr:uid="{00000000-0005-0000-0000-0000E2040000}"/>
    <cellStyle name="_SubHeading_02 Enersys Merger Plan_09 Valuation Model incl. new BP" xfId="1246" xr:uid="{00000000-0005-0000-0000-0000E3040000}"/>
    <cellStyle name="_SubHeading_02 Enersys Merger Plan_13 Valuation Model incl. new BP" xfId="1247" xr:uid="{00000000-0005-0000-0000-0000E4040000}"/>
    <cellStyle name="_SubHeading_02 Enersys Merger Plan_14 Valuation Model incl. new BP" xfId="1248" xr:uid="{00000000-0005-0000-0000-0000E5040000}"/>
    <cellStyle name="_SubHeading_02 Enersys Merger Plan_15_ Clean LBO Model" xfId="1249" xr:uid="{00000000-0005-0000-0000-0000E6040000}"/>
    <cellStyle name="_SubHeading_02 Enersys Merger Plan_20 Valuation Model incl. new BP" xfId="1250" xr:uid="{00000000-0005-0000-0000-0000E7040000}"/>
    <cellStyle name="_SubHeading_02 Enersys Merger Plan_25 Valuation Model incl. new BP" xfId="1251" xr:uid="{00000000-0005-0000-0000-0000E8040000}"/>
    <cellStyle name="_SubHeading_02 Enersys Merger Plan_33 Valuation Model incl. new BP" xfId="1252" xr:uid="{00000000-0005-0000-0000-0000E9040000}"/>
    <cellStyle name="_SubHeading_02 Enersys Merger Plan_34 Valuation Model incl. new BP" xfId="1253" xr:uid="{00000000-0005-0000-0000-0000EA040000}"/>
    <cellStyle name="_SubHeading_02 Enersys Merger Plan_37 Valuation Model incl. new BP" xfId="1254" xr:uid="{00000000-0005-0000-0000-0000EB040000}"/>
    <cellStyle name="_SubHeading_02 Enersys Merger Plan_38 Valuation Model incl. new BP" xfId="1255" xr:uid="{00000000-0005-0000-0000-0000EC040000}"/>
    <cellStyle name="_SubHeading_02 Enersys Merger Plan_39 Valuation Model incl. new BP" xfId="1256" xr:uid="{00000000-0005-0000-0000-0000ED040000}"/>
    <cellStyle name="_SubHeading_02 Enersys Merger Plan_40 Valuation Model incl. new BP" xfId="1257" xr:uid="{00000000-0005-0000-0000-0000EE040000}"/>
    <cellStyle name="_SubHeading_02 Enersys Merger Plan_44 Valuation Model incl. new BP" xfId="1258" xr:uid="{00000000-0005-0000-0000-0000EF040000}"/>
    <cellStyle name="_SubHeading_02 Mobile CSC" xfId="1259" xr:uid="{00000000-0005-0000-0000-0000F0040000}"/>
    <cellStyle name="_SubHeading_02 TDC Merger Plan" xfId="1260" xr:uid="{00000000-0005-0000-0000-0000F1040000}"/>
    <cellStyle name="_SubHeading_02 TDC Merger Plan_03_ Clean LBO Model" xfId="1261" xr:uid="{00000000-0005-0000-0000-0000F2040000}"/>
    <cellStyle name="_SubHeading_02 TDC Merger Plan_05_ Clean LBO Model" xfId="1262" xr:uid="{00000000-0005-0000-0000-0000F3040000}"/>
    <cellStyle name="_SubHeading_02 TDC Merger Plan_08 Valuation Model incl. new BP" xfId="1263" xr:uid="{00000000-0005-0000-0000-0000F4040000}"/>
    <cellStyle name="_SubHeading_02 TDC Merger Plan_09 Valuation Model incl. new BP" xfId="1264" xr:uid="{00000000-0005-0000-0000-0000F5040000}"/>
    <cellStyle name="_SubHeading_02 TDC Merger Plan_13 Valuation Model incl. new BP" xfId="1265" xr:uid="{00000000-0005-0000-0000-0000F6040000}"/>
    <cellStyle name="_SubHeading_02 TDC Merger Plan_14 Valuation Model incl. new BP" xfId="1266" xr:uid="{00000000-0005-0000-0000-0000F7040000}"/>
    <cellStyle name="_SubHeading_02 TDC Merger Plan_15_ Clean LBO Model" xfId="1267" xr:uid="{00000000-0005-0000-0000-0000F8040000}"/>
    <cellStyle name="_SubHeading_02 TDC Merger Plan_20 Valuation Model incl. new BP" xfId="1268" xr:uid="{00000000-0005-0000-0000-0000F9040000}"/>
    <cellStyle name="_SubHeading_02 TDC Merger Plan_25 Valuation Model incl. new BP" xfId="1269" xr:uid="{00000000-0005-0000-0000-0000FA040000}"/>
    <cellStyle name="_SubHeading_02 TDC Merger Plan_33 Valuation Model incl. new BP" xfId="1270" xr:uid="{00000000-0005-0000-0000-0000FB040000}"/>
    <cellStyle name="_SubHeading_02 TDC Merger Plan_34 Valuation Model incl. new BP" xfId="1271" xr:uid="{00000000-0005-0000-0000-0000FC040000}"/>
    <cellStyle name="_SubHeading_02 TDC Merger Plan_37 Valuation Model incl. new BP" xfId="1272" xr:uid="{00000000-0005-0000-0000-0000FD040000}"/>
    <cellStyle name="_SubHeading_02 TDC Merger Plan_38 Valuation Model incl. new BP" xfId="1273" xr:uid="{00000000-0005-0000-0000-0000FE040000}"/>
    <cellStyle name="_SubHeading_02 TDC Merger Plan_39 Valuation Model incl. new BP" xfId="1274" xr:uid="{00000000-0005-0000-0000-0000FF040000}"/>
    <cellStyle name="_SubHeading_02 TDC Merger Plan_40 Valuation Model incl. new BP" xfId="1275" xr:uid="{00000000-0005-0000-0000-000000050000}"/>
    <cellStyle name="_SubHeading_02 TDC Merger Plan_44 Valuation Model incl. new BP" xfId="1276" xr:uid="{00000000-0005-0000-0000-000001050000}"/>
    <cellStyle name="_SubHeading_02 WACC Analysis" xfId="1277" xr:uid="{00000000-0005-0000-0000-000002050000}"/>
    <cellStyle name="_SubHeading_03 Total Expenses" xfId="1278" xr:uid="{00000000-0005-0000-0000-000003050000}"/>
    <cellStyle name="_SubHeading_04 Volatility" xfId="1279" xr:uid="{00000000-0005-0000-0000-000004050000}"/>
    <cellStyle name="_SubHeading_07 Model Alcatel OFD Sept-03" xfId="1280" xr:uid="{00000000-0005-0000-0000-000005050000}"/>
    <cellStyle name="_SubHeading_10 LBO Model Packoma oct 2003" xfId="1281" xr:uid="{00000000-0005-0000-0000-000006050000}"/>
    <cellStyle name="_SubHeading_16 Detail of Key Metrics_mario marco" xfId="1282" xr:uid="{00000000-0005-0000-0000-000007050000}"/>
    <cellStyle name="_SubHeading_19 Valuation of Cegetel" xfId="1283" xr:uid="{00000000-0005-0000-0000-000008050000}"/>
    <cellStyle name="_SubHeading_19 Valuation of Cegetel_03_ Clean LBO Model" xfId="1284" xr:uid="{00000000-0005-0000-0000-000009050000}"/>
    <cellStyle name="_SubHeading_19 Valuation of Cegetel_05_ Clean LBO Model" xfId="1285" xr:uid="{00000000-0005-0000-0000-00000A050000}"/>
    <cellStyle name="_SubHeading_19 Valuation of Cegetel_08 Valuation Model incl. new BP" xfId="1286" xr:uid="{00000000-0005-0000-0000-00000B050000}"/>
    <cellStyle name="_SubHeading_19 Valuation of Cegetel_09 Valuation Model incl. new BP" xfId="1287" xr:uid="{00000000-0005-0000-0000-00000C050000}"/>
    <cellStyle name="_SubHeading_19 Valuation of Cegetel_13 Valuation Model incl. new BP" xfId="1288" xr:uid="{00000000-0005-0000-0000-00000D050000}"/>
    <cellStyle name="_SubHeading_19 Valuation of Cegetel_14 Valuation Model incl. new BP" xfId="1289" xr:uid="{00000000-0005-0000-0000-00000E050000}"/>
    <cellStyle name="_SubHeading_19 Valuation of Cegetel_15_ Clean LBO Model" xfId="1290" xr:uid="{00000000-0005-0000-0000-00000F050000}"/>
    <cellStyle name="_SubHeading_19 Valuation of Cegetel_20 Valuation Model incl. new BP" xfId="1291" xr:uid="{00000000-0005-0000-0000-000010050000}"/>
    <cellStyle name="_SubHeading_19 Valuation of Cegetel_25 Valuation Model incl. new BP" xfId="1292" xr:uid="{00000000-0005-0000-0000-000011050000}"/>
    <cellStyle name="_SubHeading_19 Valuation of Cegetel_33 Valuation Model incl. new BP" xfId="1293" xr:uid="{00000000-0005-0000-0000-000012050000}"/>
    <cellStyle name="_SubHeading_19 Valuation of Cegetel_34 Valuation Model incl. new BP" xfId="1294" xr:uid="{00000000-0005-0000-0000-000013050000}"/>
    <cellStyle name="_SubHeading_19 Valuation of Cegetel_37 Valuation Model incl. new BP" xfId="1295" xr:uid="{00000000-0005-0000-0000-000014050000}"/>
    <cellStyle name="_SubHeading_19 Valuation of Cegetel_38 Valuation Model incl. new BP" xfId="1296" xr:uid="{00000000-0005-0000-0000-000015050000}"/>
    <cellStyle name="_SubHeading_19 Valuation of Cegetel_39 Valuation Model incl. new BP" xfId="1297" xr:uid="{00000000-0005-0000-0000-000016050000}"/>
    <cellStyle name="_SubHeading_19 Valuation of Cegetel_40 Valuation Model incl. new BP" xfId="1298" xr:uid="{00000000-0005-0000-0000-000017050000}"/>
    <cellStyle name="_SubHeading_19 Valuation of Cegetel_44 Valuation Model incl. new BP" xfId="1299" xr:uid="{00000000-0005-0000-0000-000018050000}"/>
    <cellStyle name="_SubHeading_190503 Model2" xfId="1300" xr:uid="{00000000-0005-0000-0000-000019050000}"/>
    <cellStyle name="_SubHeading_20 Operational Model" xfId="1301" xr:uid="{00000000-0005-0000-0000-00001A050000}"/>
    <cellStyle name="_SubHeading_44 Valuation Model incl. new BP" xfId="1302" xr:uid="{00000000-0005-0000-0000-00001B050000}"/>
    <cellStyle name="_SubHeading_58_Model Rexel_Scenarios" xfId="1303" xr:uid="{00000000-0005-0000-0000-00001C050000}"/>
    <cellStyle name="_SubHeading_beta rider" xfId="1304" xr:uid="{00000000-0005-0000-0000-00001D050000}"/>
    <cellStyle name="_SubHeading_Betas" xfId="1305" xr:uid="{00000000-0005-0000-0000-00001E050000}"/>
    <cellStyle name="_SubHeading_Cairo LBO model - Sept 06" xfId="1306" xr:uid="{00000000-0005-0000-0000-00001F050000}"/>
    <cellStyle name="_SubHeading_carrefour sa carsons ownership" xfId="1307" xr:uid="{00000000-0005-0000-0000-000020050000}"/>
    <cellStyle name="_SubHeading_CSC 10_03_01 (David Brown_85B)" xfId="1308" xr:uid="{00000000-0005-0000-0000-000021050000}"/>
    <cellStyle name="_SubHeading_EBITDA to Growth" xfId="1309" xr:uid="{00000000-0005-0000-0000-000022050000}"/>
    <cellStyle name="_SubHeading_Financials &amp; Valuation v16 Indigo" xfId="1310" xr:uid="{00000000-0005-0000-0000-000023050000}"/>
    <cellStyle name="_SubHeading_Marionnaud DCF S))_x0008__x0008_03" xfId="1311" xr:uid="{00000000-0005-0000-0000-000024050000}"/>
    <cellStyle name="_SubHeading_Marionnaud Model_15April" xfId="1312" xr:uid="{00000000-0005-0000-0000-000025050000}"/>
    <cellStyle name="_SubHeading_Numico GS Research Model 23-Aug-2002" xfId="1313" xr:uid="{00000000-0005-0000-0000-000026050000}"/>
    <cellStyle name="_SubHeading_Numico GS Research Model 23-Aug-2002_03_ Clean LBO Model" xfId="1314" xr:uid="{00000000-0005-0000-0000-000027050000}"/>
    <cellStyle name="_SubHeading_Numico GS Research Model 23-Aug-2002_05_ Clean LBO Model" xfId="1315" xr:uid="{00000000-0005-0000-0000-000028050000}"/>
    <cellStyle name="_SubHeading_Numico GS Research Model 23-Aug-2002_08 Valuation Model incl. new BP" xfId="1316" xr:uid="{00000000-0005-0000-0000-000029050000}"/>
    <cellStyle name="_SubHeading_Numico GS Research Model 23-Aug-2002_09 Valuation Model incl. new BP" xfId="1317" xr:uid="{00000000-0005-0000-0000-00002A050000}"/>
    <cellStyle name="_SubHeading_Numico GS Research Model 23-Aug-2002_13 Valuation Model incl. new BP" xfId="1318" xr:uid="{00000000-0005-0000-0000-00002B050000}"/>
    <cellStyle name="_SubHeading_Numico GS Research Model 23-Aug-2002_14 Valuation Model incl. new BP" xfId="1319" xr:uid="{00000000-0005-0000-0000-00002C050000}"/>
    <cellStyle name="_SubHeading_Numico GS Research Model 23-Aug-2002_15_ Clean LBO Model" xfId="1320" xr:uid="{00000000-0005-0000-0000-00002D050000}"/>
    <cellStyle name="_SubHeading_Numico GS Research Model 23-Aug-2002_20 Valuation Model incl. new BP" xfId="1321" xr:uid="{00000000-0005-0000-0000-00002E050000}"/>
    <cellStyle name="_SubHeading_Numico GS Research Model 23-Aug-2002_25 Valuation Model incl. new BP" xfId="1322" xr:uid="{00000000-0005-0000-0000-00002F050000}"/>
    <cellStyle name="_SubHeading_Numico GS Research Model 23-Aug-2002_33 Valuation Model incl. new BP" xfId="1323" xr:uid="{00000000-0005-0000-0000-000030050000}"/>
    <cellStyle name="_SubHeading_Numico GS Research Model 23-Aug-2002_34 Valuation Model incl. new BP" xfId="1324" xr:uid="{00000000-0005-0000-0000-000031050000}"/>
    <cellStyle name="_SubHeading_Numico GS Research Model 23-Aug-2002_37 Valuation Model incl. new BP" xfId="1325" xr:uid="{00000000-0005-0000-0000-000032050000}"/>
    <cellStyle name="_SubHeading_Numico GS Research Model 23-Aug-2002_38 Valuation Model incl. new BP" xfId="1326" xr:uid="{00000000-0005-0000-0000-000033050000}"/>
    <cellStyle name="_SubHeading_Numico GS Research Model 23-Aug-2002_39 Valuation Model incl. new BP" xfId="1327" xr:uid="{00000000-0005-0000-0000-000034050000}"/>
    <cellStyle name="_SubHeading_Numico GS Research Model 23-Aug-2002_40 Valuation Model incl. new BP" xfId="1328" xr:uid="{00000000-0005-0000-0000-000035050000}"/>
    <cellStyle name="_SubHeading_Numico GS Research Model 23-Aug-2002_44 Valuation Model incl. new BP" xfId="1329" xr:uid="{00000000-0005-0000-0000-000036050000}"/>
    <cellStyle name="_SubHeading_Numico GS Research Model 23-Aug-2002_CSC July 24" xfId="1330" xr:uid="{00000000-0005-0000-0000-000037050000}"/>
    <cellStyle name="_SubHeading_Offering Breakdown - 09-Jun -2005" xfId="1331" xr:uid="{00000000-0005-0000-0000-000038050000}"/>
    <cellStyle name="_SubHeading_prestemp" xfId="1332" xr:uid="{00000000-0005-0000-0000-000039050000}"/>
    <cellStyle name="_SubHeading_SantaLucia Debt Coverage analysis - 12 June 2001" xfId="1333" xr:uid="{00000000-0005-0000-0000-00003A050000}"/>
    <cellStyle name="_SubHeading_Sensitivity analysis on synergies (amended)" xfId="1334" xr:uid="{00000000-0005-0000-0000-00003B050000}"/>
    <cellStyle name="_SubHeading_StockGroupKeyFinancials" xfId="1335" xr:uid="{00000000-0005-0000-0000-00003C050000}"/>
    <cellStyle name="_SubHeading_Volatility" xfId="1336" xr:uid="{00000000-0005-0000-0000-00003D050000}"/>
    <cellStyle name="_Table" xfId="1337" xr:uid="{00000000-0005-0000-0000-00003E050000}"/>
    <cellStyle name="_Table 2" xfId="1338" xr:uid="{00000000-0005-0000-0000-00003F050000}"/>
    <cellStyle name="_Table_01 Capital Structure" xfId="1339" xr:uid="{00000000-0005-0000-0000-000040050000}"/>
    <cellStyle name="_Table_01 Capital Structure 2" xfId="1340" xr:uid="{00000000-0005-0000-0000-000041050000}"/>
    <cellStyle name="_Table_01 Capital Structure_03_ Clean LBO Model" xfId="1341" xr:uid="{00000000-0005-0000-0000-000042050000}"/>
    <cellStyle name="_Table_01 Capital Structure_03_ Clean LBO Model 2" xfId="1342" xr:uid="{00000000-0005-0000-0000-000043050000}"/>
    <cellStyle name="_Table_01 Capital Structure_05_ Clean LBO Model" xfId="1343" xr:uid="{00000000-0005-0000-0000-000044050000}"/>
    <cellStyle name="_Table_01 Capital Structure_05_ Clean LBO Model 2" xfId="1344" xr:uid="{00000000-0005-0000-0000-000045050000}"/>
    <cellStyle name="_Table_01 Capital Structure_08 Valuation Model incl. new BP" xfId="1345" xr:uid="{00000000-0005-0000-0000-000046050000}"/>
    <cellStyle name="_Table_01 Capital Structure_08 Valuation Model incl. new BP 2" xfId="1346" xr:uid="{00000000-0005-0000-0000-000047050000}"/>
    <cellStyle name="_Table_01 Capital Structure_09 Valuation Model incl. new BP" xfId="1347" xr:uid="{00000000-0005-0000-0000-000048050000}"/>
    <cellStyle name="_Table_01 Capital Structure_09 Valuation Model incl. new BP 2" xfId="1348" xr:uid="{00000000-0005-0000-0000-000049050000}"/>
    <cellStyle name="_Table_01 Capital Structure_13 Valuation Model incl. new BP" xfId="1349" xr:uid="{00000000-0005-0000-0000-00004A050000}"/>
    <cellStyle name="_Table_01 Capital Structure_13 Valuation Model incl. new BP 2" xfId="1350" xr:uid="{00000000-0005-0000-0000-00004B050000}"/>
    <cellStyle name="_Table_01 Capital Structure_14 Valuation Model incl. new BP" xfId="1351" xr:uid="{00000000-0005-0000-0000-00004C050000}"/>
    <cellStyle name="_Table_01 Capital Structure_14 Valuation Model incl. new BP 2" xfId="1352" xr:uid="{00000000-0005-0000-0000-00004D050000}"/>
    <cellStyle name="_Table_01 Capital Structure_15_ Clean LBO Model" xfId="1353" xr:uid="{00000000-0005-0000-0000-00004E050000}"/>
    <cellStyle name="_Table_01 Capital Structure_15_ Clean LBO Model 2" xfId="1354" xr:uid="{00000000-0005-0000-0000-00004F050000}"/>
    <cellStyle name="_Table_01 Capital Structure_20 Valuation Model incl. new BP" xfId="1355" xr:uid="{00000000-0005-0000-0000-000050050000}"/>
    <cellStyle name="_Table_01 Capital Structure_20 Valuation Model incl. new BP 2" xfId="1356" xr:uid="{00000000-0005-0000-0000-000051050000}"/>
    <cellStyle name="_Table_01 Capital Structure_25 Valuation Model incl. new BP" xfId="1357" xr:uid="{00000000-0005-0000-0000-000052050000}"/>
    <cellStyle name="_Table_01 Capital Structure_25 Valuation Model incl. new BP 2" xfId="1358" xr:uid="{00000000-0005-0000-0000-000053050000}"/>
    <cellStyle name="_Table_01 Capital Structure_33 Valuation Model incl. new BP" xfId="1359" xr:uid="{00000000-0005-0000-0000-000054050000}"/>
    <cellStyle name="_Table_01 Capital Structure_33 Valuation Model incl. new BP 2" xfId="1360" xr:uid="{00000000-0005-0000-0000-000055050000}"/>
    <cellStyle name="_Table_01 Capital Structure_34 Valuation Model incl. new BP" xfId="1361" xr:uid="{00000000-0005-0000-0000-000056050000}"/>
    <cellStyle name="_Table_01 Capital Structure_34 Valuation Model incl. new BP 2" xfId="1362" xr:uid="{00000000-0005-0000-0000-000057050000}"/>
    <cellStyle name="_Table_01 Capital Structure_37 Valuation Model incl. new BP" xfId="1363" xr:uid="{00000000-0005-0000-0000-000058050000}"/>
    <cellStyle name="_Table_01 Capital Structure_37 Valuation Model incl. new BP 2" xfId="1364" xr:uid="{00000000-0005-0000-0000-000059050000}"/>
    <cellStyle name="_Table_01 Capital Structure_38 Valuation Model incl. new BP" xfId="1365" xr:uid="{00000000-0005-0000-0000-00005A050000}"/>
    <cellStyle name="_Table_01 Capital Structure_38 Valuation Model incl. new BP 2" xfId="1366" xr:uid="{00000000-0005-0000-0000-00005B050000}"/>
    <cellStyle name="_Table_01 Capital Structure_39 Valuation Model incl. new BP" xfId="1367" xr:uid="{00000000-0005-0000-0000-00005C050000}"/>
    <cellStyle name="_Table_01 Capital Structure_39 Valuation Model incl. new BP 2" xfId="1368" xr:uid="{00000000-0005-0000-0000-00005D050000}"/>
    <cellStyle name="_Table_01 Capital Structure_40 Valuation Model incl. new BP" xfId="1369" xr:uid="{00000000-0005-0000-0000-00005E050000}"/>
    <cellStyle name="_Table_01 Capital Structure_40 Valuation Model incl. new BP 2" xfId="1370" xr:uid="{00000000-0005-0000-0000-00005F050000}"/>
    <cellStyle name="_Table_01 Capital Structure_44 Valuation Model incl. new BP" xfId="1371" xr:uid="{00000000-0005-0000-0000-000060050000}"/>
    <cellStyle name="_Table_01 Capital Structure_44 Valuation Model incl. new BP 2" xfId="1372" xr:uid="{00000000-0005-0000-0000-000061050000}"/>
    <cellStyle name="_Table_01 Offering Breakdown" xfId="1373" xr:uid="{00000000-0005-0000-0000-000062050000}"/>
    <cellStyle name="_Table_01 Offering Breakdown 2" xfId="1374" xr:uid="{00000000-0005-0000-0000-000063050000}"/>
    <cellStyle name="_Table_02 DCF" xfId="1375" xr:uid="{00000000-0005-0000-0000-000064050000}"/>
    <cellStyle name="_Table_02 DCF 2" xfId="1376" xr:uid="{00000000-0005-0000-0000-000065050000}"/>
    <cellStyle name="_Table_02 Enersys Merger Plan" xfId="1377" xr:uid="{00000000-0005-0000-0000-000066050000}"/>
    <cellStyle name="_Table_02 Enersys Merger Plan 2" xfId="1378" xr:uid="{00000000-0005-0000-0000-000067050000}"/>
    <cellStyle name="_Table_02 Enersys Merger Plan_03_ Clean LBO Model" xfId="1379" xr:uid="{00000000-0005-0000-0000-000068050000}"/>
    <cellStyle name="_Table_02 Enersys Merger Plan_03_ Clean LBO Model 2" xfId="1380" xr:uid="{00000000-0005-0000-0000-000069050000}"/>
    <cellStyle name="_Table_02 Enersys Merger Plan_05_ Clean LBO Model" xfId="1381" xr:uid="{00000000-0005-0000-0000-00006A050000}"/>
    <cellStyle name="_Table_02 Enersys Merger Plan_05_ Clean LBO Model 2" xfId="1382" xr:uid="{00000000-0005-0000-0000-00006B050000}"/>
    <cellStyle name="_Table_02 Enersys Merger Plan_08 Valuation Model incl. new BP" xfId="1383" xr:uid="{00000000-0005-0000-0000-00006C050000}"/>
    <cellStyle name="_Table_02 Enersys Merger Plan_08 Valuation Model incl. new BP 2" xfId="1384" xr:uid="{00000000-0005-0000-0000-00006D050000}"/>
    <cellStyle name="_Table_02 Enersys Merger Plan_09 Valuation Model incl. new BP" xfId="1385" xr:uid="{00000000-0005-0000-0000-00006E050000}"/>
    <cellStyle name="_Table_02 Enersys Merger Plan_09 Valuation Model incl. new BP 2" xfId="1386" xr:uid="{00000000-0005-0000-0000-00006F050000}"/>
    <cellStyle name="_Table_02 Enersys Merger Plan_13 Valuation Model incl. new BP" xfId="1387" xr:uid="{00000000-0005-0000-0000-000070050000}"/>
    <cellStyle name="_Table_02 Enersys Merger Plan_13 Valuation Model incl. new BP 2" xfId="1388" xr:uid="{00000000-0005-0000-0000-000071050000}"/>
    <cellStyle name="_Table_02 Enersys Merger Plan_14 Valuation Model incl. new BP" xfId="1389" xr:uid="{00000000-0005-0000-0000-000072050000}"/>
    <cellStyle name="_Table_02 Enersys Merger Plan_14 Valuation Model incl. new BP 2" xfId="1390" xr:uid="{00000000-0005-0000-0000-000073050000}"/>
    <cellStyle name="_Table_02 Enersys Merger Plan_15_ Clean LBO Model" xfId="1391" xr:uid="{00000000-0005-0000-0000-000074050000}"/>
    <cellStyle name="_Table_02 Enersys Merger Plan_15_ Clean LBO Model 2" xfId="1392" xr:uid="{00000000-0005-0000-0000-000075050000}"/>
    <cellStyle name="_Table_02 Enersys Merger Plan_20 Valuation Model incl. new BP" xfId="1393" xr:uid="{00000000-0005-0000-0000-000076050000}"/>
    <cellStyle name="_Table_02 Enersys Merger Plan_20 Valuation Model incl. new BP 2" xfId="1394" xr:uid="{00000000-0005-0000-0000-000077050000}"/>
    <cellStyle name="_Table_02 Enersys Merger Plan_25 Valuation Model incl. new BP" xfId="1395" xr:uid="{00000000-0005-0000-0000-000078050000}"/>
    <cellStyle name="_Table_02 Enersys Merger Plan_25 Valuation Model incl. new BP 2" xfId="1396" xr:uid="{00000000-0005-0000-0000-000079050000}"/>
    <cellStyle name="_Table_02 Enersys Merger Plan_33 Valuation Model incl. new BP" xfId="1397" xr:uid="{00000000-0005-0000-0000-00007A050000}"/>
    <cellStyle name="_Table_02 Enersys Merger Plan_33 Valuation Model incl. new BP 2" xfId="1398" xr:uid="{00000000-0005-0000-0000-00007B050000}"/>
    <cellStyle name="_Table_02 Enersys Merger Plan_34 Valuation Model incl. new BP" xfId="1399" xr:uid="{00000000-0005-0000-0000-00007C050000}"/>
    <cellStyle name="_Table_02 Enersys Merger Plan_34 Valuation Model incl. new BP 2" xfId="1400" xr:uid="{00000000-0005-0000-0000-00007D050000}"/>
    <cellStyle name="_Table_02 Enersys Merger Plan_37 Valuation Model incl. new BP" xfId="1401" xr:uid="{00000000-0005-0000-0000-00007E050000}"/>
    <cellStyle name="_Table_02 Enersys Merger Plan_37 Valuation Model incl. new BP 2" xfId="1402" xr:uid="{00000000-0005-0000-0000-00007F050000}"/>
    <cellStyle name="_Table_02 Enersys Merger Plan_38 Valuation Model incl. new BP" xfId="1403" xr:uid="{00000000-0005-0000-0000-000080050000}"/>
    <cellStyle name="_Table_02 Enersys Merger Plan_38 Valuation Model incl. new BP 2" xfId="1404" xr:uid="{00000000-0005-0000-0000-000081050000}"/>
    <cellStyle name="_Table_02 Enersys Merger Plan_39 Valuation Model incl. new BP" xfId="1405" xr:uid="{00000000-0005-0000-0000-000082050000}"/>
    <cellStyle name="_Table_02 Enersys Merger Plan_39 Valuation Model incl. new BP 2" xfId="1406" xr:uid="{00000000-0005-0000-0000-000083050000}"/>
    <cellStyle name="_Table_02 Enersys Merger Plan_40 Valuation Model incl. new BP" xfId="1407" xr:uid="{00000000-0005-0000-0000-000084050000}"/>
    <cellStyle name="_Table_02 Enersys Merger Plan_40 Valuation Model incl. new BP 2" xfId="1408" xr:uid="{00000000-0005-0000-0000-000085050000}"/>
    <cellStyle name="_Table_02 Enersys Merger Plan_44 Valuation Model incl. new BP" xfId="1409" xr:uid="{00000000-0005-0000-0000-000086050000}"/>
    <cellStyle name="_Table_02 Enersys Merger Plan_44 Valuation Model incl. new BP 2" xfId="1410" xr:uid="{00000000-0005-0000-0000-000087050000}"/>
    <cellStyle name="_Table_02 Mobile CSC" xfId="1411" xr:uid="{00000000-0005-0000-0000-000088050000}"/>
    <cellStyle name="_Table_02 Mobile CSC 2" xfId="1412" xr:uid="{00000000-0005-0000-0000-000089050000}"/>
    <cellStyle name="_Table_02 TDC Merger Plan" xfId="1413" xr:uid="{00000000-0005-0000-0000-00008A050000}"/>
    <cellStyle name="_Table_02 TDC Merger Plan 2" xfId="1414" xr:uid="{00000000-0005-0000-0000-00008B050000}"/>
    <cellStyle name="_Table_02 TDC Merger Plan_03_ Clean LBO Model" xfId="1415" xr:uid="{00000000-0005-0000-0000-00008C050000}"/>
    <cellStyle name="_Table_02 TDC Merger Plan_03_ Clean LBO Model 2" xfId="1416" xr:uid="{00000000-0005-0000-0000-00008D050000}"/>
    <cellStyle name="_Table_02 TDC Merger Plan_05_ Clean LBO Model" xfId="1417" xr:uid="{00000000-0005-0000-0000-00008E050000}"/>
    <cellStyle name="_Table_02 TDC Merger Plan_05_ Clean LBO Model 2" xfId="1418" xr:uid="{00000000-0005-0000-0000-00008F050000}"/>
    <cellStyle name="_Table_02 TDC Merger Plan_08 Valuation Model incl. new BP" xfId="1419" xr:uid="{00000000-0005-0000-0000-000090050000}"/>
    <cellStyle name="_Table_02 TDC Merger Plan_08 Valuation Model incl. new BP 2" xfId="1420" xr:uid="{00000000-0005-0000-0000-000091050000}"/>
    <cellStyle name="_Table_02 TDC Merger Plan_09 Valuation Model incl. new BP" xfId="1421" xr:uid="{00000000-0005-0000-0000-000092050000}"/>
    <cellStyle name="_Table_02 TDC Merger Plan_09 Valuation Model incl. new BP 2" xfId="1422" xr:uid="{00000000-0005-0000-0000-000093050000}"/>
    <cellStyle name="_Table_02 TDC Merger Plan_13 Valuation Model incl. new BP" xfId="1423" xr:uid="{00000000-0005-0000-0000-000094050000}"/>
    <cellStyle name="_Table_02 TDC Merger Plan_13 Valuation Model incl. new BP 2" xfId="1424" xr:uid="{00000000-0005-0000-0000-000095050000}"/>
    <cellStyle name="_Table_02 TDC Merger Plan_14 Valuation Model incl. new BP" xfId="1425" xr:uid="{00000000-0005-0000-0000-000096050000}"/>
    <cellStyle name="_Table_02 TDC Merger Plan_14 Valuation Model incl. new BP 2" xfId="1426" xr:uid="{00000000-0005-0000-0000-000097050000}"/>
    <cellStyle name="_Table_02 TDC Merger Plan_15_ Clean LBO Model" xfId="1427" xr:uid="{00000000-0005-0000-0000-000098050000}"/>
    <cellStyle name="_Table_02 TDC Merger Plan_15_ Clean LBO Model 2" xfId="1428" xr:uid="{00000000-0005-0000-0000-000099050000}"/>
    <cellStyle name="_Table_02 TDC Merger Plan_20 Valuation Model incl. new BP" xfId="1429" xr:uid="{00000000-0005-0000-0000-00009A050000}"/>
    <cellStyle name="_Table_02 TDC Merger Plan_20 Valuation Model incl. new BP 2" xfId="1430" xr:uid="{00000000-0005-0000-0000-00009B050000}"/>
    <cellStyle name="_Table_02 TDC Merger Plan_25 Valuation Model incl. new BP" xfId="1431" xr:uid="{00000000-0005-0000-0000-00009C050000}"/>
    <cellStyle name="_Table_02 TDC Merger Plan_25 Valuation Model incl. new BP 2" xfId="1432" xr:uid="{00000000-0005-0000-0000-00009D050000}"/>
    <cellStyle name="_Table_02 TDC Merger Plan_33 Valuation Model incl. new BP" xfId="1433" xr:uid="{00000000-0005-0000-0000-00009E050000}"/>
    <cellStyle name="_Table_02 TDC Merger Plan_33 Valuation Model incl. new BP 2" xfId="1434" xr:uid="{00000000-0005-0000-0000-00009F050000}"/>
    <cellStyle name="_Table_02 TDC Merger Plan_34 Valuation Model incl. new BP" xfId="1435" xr:uid="{00000000-0005-0000-0000-0000A0050000}"/>
    <cellStyle name="_Table_02 TDC Merger Plan_34 Valuation Model incl. new BP 2" xfId="1436" xr:uid="{00000000-0005-0000-0000-0000A1050000}"/>
    <cellStyle name="_Table_02 TDC Merger Plan_37 Valuation Model incl. new BP" xfId="1437" xr:uid="{00000000-0005-0000-0000-0000A2050000}"/>
    <cellStyle name="_Table_02 TDC Merger Plan_37 Valuation Model incl. new BP 2" xfId="1438" xr:uid="{00000000-0005-0000-0000-0000A3050000}"/>
    <cellStyle name="_Table_02 TDC Merger Plan_38 Valuation Model incl. new BP" xfId="1439" xr:uid="{00000000-0005-0000-0000-0000A4050000}"/>
    <cellStyle name="_Table_02 TDC Merger Plan_38 Valuation Model incl. new BP 2" xfId="1440" xr:uid="{00000000-0005-0000-0000-0000A5050000}"/>
    <cellStyle name="_Table_02 TDC Merger Plan_39 Valuation Model incl. new BP" xfId="1441" xr:uid="{00000000-0005-0000-0000-0000A6050000}"/>
    <cellStyle name="_Table_02 TDC Merger Plan_39 Valuation Model incl. new BP 2" xfId="1442" xr:uid="{00000000-0005-0000-0000-0000A7050000}"/>
    <cellStyle name="_Table_02 TDC Merger Plan_40 Valuation Model incl. new BP" xfId="1443" xr:uid="{00000000-0005-0000-0000-0000A8050000}"/>
    <cellStyle name="_Table_02 TDC Merger Plan_40 Valuation Model incl. new BP 2" xfId="1444" xr:uid="{00000000-0005-0000-0000-0000A9050000}"/>
    <cellStyle name="_Table_02 TDC Merger Plan_44 Valuation Model incl. new BP" xfId="1445" xr:uid="{00000000-0005-0000-0000-0000AA050000}"/>
    <cellStyle name="_Table_02 TDC Merger Plan_44 Valuation Model incl. new BP 2" xfId="1446" xr:uid="{00000000-0005-0000-0000-0000AB050000}"/>
    <cellStyle name="_Table_02 WACC Analysis" xfId="1447" xr:uid="{00000000-0005-0000-0000-0000AC050000}"/>
    <cellStyle name="_Table_02 WACC Analysis 2" xfId="1448" xr:uid="{00000000-0005-0000-0000-0000AD050000}"/>
    <cellStyle name="_Table_03 Total Expenses" xfId="1449" xr:uid="{00000000-0005-0000-0000-0000AE050000}"/>
    <cellStyle name="_Table_03 Total Expenses 2" xfId="1450" xr:uid="{00000000-0005-0000-0000-0000AF050000}"/>
    <cellStyle name="_Table_04 Volatility" xfId="1451" xr:uid="{00000000-0005-0000-0000-0000B0050000}"/>
    <cellStyle name="_Table_04 Volatility 2" xfId="1452" xr:uid="{00000000-0005-0000-0000-0000B1050000}"/>
    <cellStyle name="_Table_07 Model Alcatel OFD Sept-03" xfId="1453" xr:uid="{00000000-0005-0000-0000-0000B2050000}"/>
    <cellStyle name="_Table_07 Model Alcatel OFD Sept-03 2" xfId="1454" xr:uid="{00000000-0005-0000-0000-0000B3050000}"/>
    <cellStyle name="_Table_10- C-lion Merger and Valuation Analysis" xfId="1456" xr:uid="{00000000-0005-0000-0000-0000B5050000}"/>
    <cellStyle name="_Table_10 LBO Model Packoma oct 2003" xfId="1455" xr:uid="{00000000-0005-0000-0000-0000B4050000}"/>
    <cellStyle name="_Table_19 Valuation of Cegetel" xfId="1457" xr:uid="{00000000-0005-0000-0000-0000B6050000}"/>
    <cellStyle name="_Table_19 Valuation of Cegetel 2" xfId="1458" xr:uid="{00000000-0005-0000-0000-0000B7050000}"/>
    <cellStyle name="_Table_19 Valuation of Cegetel_03_ Clean LBO Model" xfId="1459" xr:uid="{00000000-0005-0000-0000-0000B8050000}"/>
    <cellStyle name="_Table_19 Valuation of Cegetel_03_ Clean LBO Model 2" xfId="1460" xr:uid="{00000000-0005-0000-0000-0000B9050000}"/>
    <cellStyle name="_Table_19 Valuation of Cegetel_05_ Clean LBO Model" xfId="1461" xr:uid="{00000000-0005-0000-0000-0000BA050000}"/>
    <cellStyle name="_Table_19 Valuation of Cegetel_05_ Clean LBO Model 2" xfId="1462" xr:uid="{00000000-0005-0000-0000-0000BB050000}"/>
    <cellStyle name="_Table_19 Valuation of Cegetel_08 Valuation Model incl. new BP" xfId="1463" xr:uid="{00000000-0005-0000-0000-0000BC050000}"/>
    <cellStyle name="_Table_19 Valuation of Cegetel_08 Valuation Model incl. new BP 2" xfId="1464" xr:uid="{00000000-0005-0000-0000-0000BD050000}"/>
    <cellStyle name="_Table_19 Valuation of Cegetel_09 Valuation Model incl. new BP" xfId="1465" xr:uid="{00000000-0005-0000-0000-0000BE050000}"/>
    <cellStyle name="_Table_19 Valuation of Cegetel_09 Valuation Model incl. new BP 2" xfId="1466" xr:uid="{00000000-0005-0000-0000-0000BF050000}"/>
    <cellStyle name="_Table_19 Valuation of Cegetel_13 Valuation Model incl. new BP" xfId="1467" xr:uid="{00000000-0005-0000-0000-0000C0050000}"/>
    <cellStyle name="_Table_19 Valuation of Cegetel_13 Valuation Model incl. new BP 2" xfId="1468" xr:uid="{00000000-0005-0000-0000-0000C1050000}"/>
    <cellStyle name="_Table_19 Valuation of Cegetel_14 Valuation Model incl. new BP" xfId="1469" xr:uid="{00000000-0005-0000-0000-0000C2050000}"/>
    <cellStyle name="_Table_19 Valuation of Cegetel_14 Valuation Model incl. new BP 2" xfId="1470" xr:uid="{00000000-0005-0000-0000-0000C3050000}"/>
    <cellStyle name="_Table_19 Valuation of Cegetel_15_ Clean LBO Model" xfId="1471" xr:uid="{00000000-0005-0000-0000-0000C4050000}"/>
    <cellStyle name="_Table_19 Valuation of Cegetel_15_ Clean LBO Model 2" xfId="1472" xr:uid="{00000000-0005-0000-0000-0000C5050000}"/>
    <cellStyle name="_Table_19 Valuation of Cegetel_20 Valuation Model incl. new BP" xfId="1473" xr:uid="{00000000-0005-0000-0000-0000C6050000}"/>
    <cellStyle name="_Table_19 Valuation of Cegetel_20 Valuation Model incl. new BP 2" xfId="1474" xr:uid="{00000000-0005-0000-0000-0000C7050000}"/>
    <cellStyle name="_Table_19 Valuation of Cegetel_25 Valuation Model incl. new BP" xfId="1475" xr:uid="{00000000-0005-0000-0000-0000C8050000}"/>
    <cellStyle name="_Table_19 Valuation of Cegetel_25 Valuation Model incl. new BP 2" xfId="1476" xr:uid="{00000000-0005-0000-0000-0000C9050000}"/>
    <cellStyle name="_Table_19 Valuation of Cegetel_33 Valuation Model incl. new BP" xfId="1477" xr:uid="{00000000-0005-0000-0000-0000CA050000}"/>
    <cellStyle name="_Table_19 Valuation of Cegetel_33 Valuation Model incl. new BP 2" xfId="1478" xr:uid="{00000000-0005-0000-0000-0000CB050000}"/>
    <cellStyle name="_Table_19 Valuation of Cegetel_34 Valuation Model incl. new BP" xfId="1479" xr:uid="{00000000-0005-0000-0000-0000CC050000}"/>
    <cellStyle name="_Table_19 Valuation of Cegetel_34 Valuation Model incl. new BP 2" xfId="1480" xr:uid="{00000000-0005-0000-0000-0000CD050000}"/>
    <cellStyle name="_Table_19 Valuation of Cegetel_37 Valuation Model incl. new BP" xfId="1481" xr:uid="{00000000-0005-0000-0000-0000CE050000}"/>
    <cellStyle name="_Table_19 Valuation of Cegetel_37 Valuation Model incl. new BP 2" xfId="1482" xr:uid="{00000000-0005-0000-0000-0000CF050000}"/>
    <cellStyle name="_Table_19 Valuation of Cegetel_38 Valuation Model incl. new BP" xfId="1483" xr:uid="{00000000-0005-0000-0000-0000D0050000}"/>
    <cellStyle name="_Table_19 Valuation of Cegetel_38 Valuation Model incl. new BP 2" xfId="1484" xr:uid="{00000000-0005-0000-0000-0000D1050000}"/>
    <cellStyle name="_Table_19 Valuation of Cegetel_39 Valuation Model incl. new BP" xfId="1485" xr:uid="{00000000-0005-0000-0000-0000D2050000}"/>
    <cellStyle name="_Table_19 Valuation of Cegetel_39 Valuation Model incl. new BP 2" xfId="1486" xr:uid="{00000000-0005-0000-0000-0000D3050000}"/>
    <cellStyle name="_Table_19 Valuation of Cegetel_40 Valuation Model incl. new BP" xfId="1487" xr:uid="{00000000-0005-0000-0000-0000D4050000}"/>
    <cellStyle name="_Table_19 Valuation of Cegetel_40 Valuation Model incl. new BP 2" xfId="1488" xr:uid="{00000000-0005-0000-0000-0000D5050000}"/>
    <cellStyle name="_Table_19 Valuation of Cegetel_44 Valuation Model incl. new BP" xfId="1489" xr:uid="{00000000-0005-0000-0000-0000D6050000}"/>
    <cellStyle name="_Table_19 Valuation of Cegetel_44 Valuation Model incl. new BP 2" xfId="1490" xr:uid="{00000000-0005-0000-0000-0000D7050000}"/>
    <cellStyle name="_Table_190503 Model2" xfId="1491" xr:uid="{00000000-0005-0000-0000-0000D8050000}"/>
    <cellStyle name="_Table_190503 Model2 2" xfId="1492" xr:uid="{00000000-0005-0000-0000-0000D9050000}"/>
    <cellStyle name="_Table_20 Operational Model" xfId="1493" xr:uid="{00000000-0005-0000-0000-0000DA050000}"/>
    <cellStyle name="_Table_20 Operational Model 2" xfId="1494" xr:uid="{00000000-0005-0000-0000-0000DB050000}"/>
    <cellStyle name="_Table_2001 09 20" xfId="1495" xr:uid="{00000000-0005-0000-0000-0000DC050000}"/>
    <cellStyle name="_Table_44 Valuation Model incl. new BP" xfId="1496" xr:uid="{00000000-0005-0000-0000-0000DD050000}"/>
    <cellStyle name="_Table_44 Valuation Model incl. new BP 2" xfId="1497" xr:uid="{00000000-0005-0000-0000-0000DE050000}"/>
    <cellStyle name="_Table_58_Model Rexel_Scenarios" xfId="1498" xr:uid="{00000000-0005-0000-0000-0000DF050000}"/>
    <cellStyle name="_Table_Accretion_Management_19Sep" xfId="1499" xr:uid="{00000000-0005-0000-0000-0000E0050000}"/>
    <cellStyle name="_Table_Accretion_Management_21Aug.2" xfId="1500" xr:uid="{00000000-0005-0000-0000-0000E1050000}"/>
    <cellStyle name="_Table_Accretion_Management_Sep1" xfId="1501" xr:uid="{00000000-0005-0000-0000-0000E2050000}"/>
    <cellStyle name="_Table_Barra Betas1" xfId="1502" xr:uid="{00000000-0005-0000-0000-0000E3050000}"/>
    <cellStyle name="_Table_Barra Betas1 2" xfId="1503" xr:uid="{00000000-0005-0000-0000-0000E4050000}"/>
    <cellStyle name="_Table_Betas" xfId="1504" xr:uid="{00000000-0005-0000-0000-0000E5050000}"/>
    <cellStyle name="_Table_Betas 2" xfId="1505" xr:uid="{00000000-0005-0000-0000-0000E6050000}"/>
    <cellStyle name="_Table_Bottom-Up Site Analysis (220801)" xfId="1506" xr:uid="{00000000-0005-0000-0000-0000E7050000}"/>
    <cellStyle name="_Table_Bottom-Up Site Analysis (220801) 2" xfId="1507" xr:uid="{00000000-0005-0000-0000-0000E8050000}"/>
    <cellStyle name="_Table_Bottom-Up Site Analysis v2" xfId="1508" xr:uid="{00000000-0005-0000-0000-0000E9050000}"/>
    <cellStyle name="_Table_Bottom-Up Site Analysis v2 2" xfId="1509" xr:uid="{00000000-0005-0000-0000-0000EA050000}"/>
    <cellStyle name="_Table_Cairo LBO model - Sept 06" xfId="1510" xr:uid="{00000000-0005-0000-0000-0000EB050000}"/>
    <cellStyle name="_Table_Cairo LBO model - Sept 06 2" xfId="1511" xr:uid="{00000000-0005-0000-0000-0000EC050000}"/>
    <cellStyle name="_Table_Casto DCF_June22" xfId="1512" xr:uid="{00000000-0005-0000-0000-0000ED050000}"/>
    <cellStyle name="_Table_Contribution analysis" xfId="1513" xr:uid="{00000000-0005-0000-0000-0000EE050000}"/>
    <cellStyle name="_Table_Contribution Analysis_Brokers_Sep2" xfId="1514" xr:uid="{00000000-0005-0000-0000-0000EF050000}"/>
    <cellStyle name="_Table_Contribution Analysis_Brokers_Sep6" xfId="1515" xr:uid="{00000000-0005-0000-0000-0000F0050000}"/>
    <cellStyle name="_Table_CSC - revised version 27 october" xfId="1516" xr:uid="{00000000-0005-0000-0000-0000F1050000}"/>
    <cellStyle name="_Table_CSC - revised version 27 october 2" xfId="1517" xr:uid="{00000000-0005-0000-0000-0000F2050000}"/>
    <cellStyle name="_Table_DCF - July 2, 2001" xfId="1518" xr:uid="{00000000-0005-0000-0000-0000F3050000}"/>
    <cellStyle name="_Table_deal comp data 99 reduced" xfId="1519" xr:uid="{00000000-0005-0000-0000-0000F4050000}"/>
    <cellStyle name="_Table_deal comp data 99 reduced 2" xfId="1520" xr:uid="{00000000-0005-0000-0000-0000F5050000}"/>
    <cellStyle name="_Table_Feeder" xfId="1521" xr:uid="{00000000-0005-0000-0000-0000F6050000}"/>
    <cellStyle name="_Table_Feeder 2" xfId="1522" xr:uid="{00000000-0005-0000-0000-0000F7050000}"/>
    <cellStyle name="_Table_Financial and Credit Impact" xfId="1523" xr:uid="{00000000-0005-0000-0000-0000F8050000}"/>
    <cellStyle name="_Table_Financial and Credit Impact 2" xfId="1524" xr:uid="{00000000-0005-0000-0000-0000F9050000}"/>
    <cellStyle name="_Table_Financial Model v75.0" xfId="1525" xr:uid="{00000000-0005-0000-0000-0000FA050000}"/>
    <cellStyle name="_Table_Financials &amp; Valuation v16 Indigo" xfId="1526" xr:uid="{00000000-0005-0000-0000-0000FB050000}"/>
    <cellStyle name="_Table_Financing alternatives key credit" xfId="1527" xr:uid="{00000000-0005-0000-0000-0000FC050000}"/>
    <cellStyle name="_Table_Financing alternatives key credit 2" xfId="1528" xr:uid="{00000000-0005-0000-0000-0000FD050000}"/>
    <cellStyle name="_Table_liberate fact sheet" xfId="1529" xr:uid="{00000000-0005-0000-0000-0000FE050000}"/>
    <cellStyle name="_Table_M&amp;A Model" xfId="1530" xr:uid="{00000000-0005-0000-0000-0000FF050000}"/>
    <cellStyle name="_Table_M&amp;A Model 2" xfId="1531" xr:uid="{00000000-0005-0000-0000-000000060000}"/>
    <cellStyle name="_Table_M&amp;A projections" xfId="1532" xr:uid="{00000000-0005-0000-0000-000001060000}"/>
    <cellStyle name="_Table_M&amp;A projections 2" xfId="1533" xr:uid="{00000000-0005-0000-0000-000002060000}"/>
    <cellStyle name="_Table_Marionnaud DCF Sept-03" xfId="1534" xr:uid="{00000000-0005-0000-0000-000003060000}"/>
    <cellStyle name="_Table_Marionnaud DCF Sept-03 2" xfId="1535" xr:uid="{00000000-0005-0000-0000-000004060000}"/>
    <cellStyle name="_Table_Marionnaud Model_15April" xfId="1536" xr:uid="{00000000-0005-0000-0000-000005060000}"/>
    <cellStyle name="+" xfId="66" xr:uid="{00000000-0005-0000-0000-000047000000}"/>
    <cellStyle name="+_Quasi Rent Illustration" xfId="67" xr:uid="{00000000-0005-0000-0000-000048000000}"/>
    <cellStyle name="+_YLC" xfId="68" xr:uid="{00000000-0005-0000-0000-000049000000}"/>
    <cellStyle name="=C:\WINNT\SYSTEM32\COMMAND.COM" xfId="179" xr:uid="{00000000-0005-0000-0000-0000B8000000}"/>
    <cellStyle name="=C:\WINNT35\SYSTEM32\COMMAND.COM" xfId="178" xr:uid="{00000000-0005-0000-0000-0000B7000000}"/>
    <cellStyle name="0" xfId="72" xr:uid="{00000000-0005-0000-0000-00004D000000}"/>
    <cellStyle name="0%" xfId="73" xr:uid="{00000000-0005-0000-0000-00004E000000}"/>
    <cellStyle name="0,0_x000d__x000a_NA_x000d__x000a_" xfId="74" xr:uid="{00000000-0005-0000-0000-00004F000000}"/>
    <cellStyle name="0.0" xfId="75" xr:uid="{00000000-0005-0000-0000-000050000000}"/>
    <cellStyle name="0.0 x" xfId="76" xr:uid="{00000000-0005-0000-0000-000051000000}"/>
    <cellStyle name="0.0%" xfId="77" xr:uid="{00000000-0005-0000-0000-000052000000}"/>
    <cellStyle name="0.0_temp templates2" xfId="80" xr:uid="{00000000-0005-0000-0000-000055000000}"/>
    <cellStyle name="0.00" xfId="78" xr:uid="{00000000-0005-0000-0000-000053000000}"/>
    <cellStyle name="0.00%" xfId="79" xr:uid="{00000000-0005-0000-0000-000054000000}"/>
    <cellStyle name="0.0x" xfId="81" xr:uid="{00000000-0005-0000-0000-000056000000}"/>
    <cellStyle name="0_BP2" xfId="84" xr:uid="{00000000-0005-0000-0000-000059000000}"/>
    <cellStyle name="0_Bullet model 122_temp templates2" xfId="85" xr:uid="{00000000-0005-0000-0000-00005A000000}"/>
    <cellStyle name="0_Grandvision_LBO2" xfId="86" xr:uid="{00000000-0005-0000-0000-00005B000000}"/>
    <cellStyle name="0_Proforma Model 100701 v.5" xfId="87" xr:uid="{00000000-0005-0000-0000-00005C000000}"/>
    <cellStyle name="000" xfId="82" xr:uid="{00000000-0005-0000-0000-000057000000}"/>
    <cellStyle name="0000" xfId="83" xr:uid="{00000000-0005-0000-0000-000058000000}"/>
    <cellStyle name="0x" xfId="88" xr:uid="{00000000-0005-0000-0000-00005D000000}"/>
    <cellStyle name="1 decimal" xfId="89" xr:uid="{00000000-0005-0000-0000-00005E000000}"/>
    <cellStyle name="1,000" xfId="90" xr:uid="{00000000-0005-0000-0000-00005F000000}"/>
    <cellStyle name="1,000x" xfId="91" xr:uid="{00000000-0005-0000-0000-000060000000}"/>
    <cellStyle name="1,comma" xfId="92" xr:uid="{00000000-0005-0000-0000-000061000000}"/>
    <cellStyle name="1_HardCode" xfId="93" xr:uid="{00000000-0005-0000-0000-000062000000}"/>
    <cellStyle name="2" xfId="94" xr:uid="{00000000-0005-0000-0000-000063000000}"/>
    <cellStyle name="2 decimal" xfId="95" xr:uid="{00000000-0005-0000-0000-000064000000}"/>
    <cellStyle name="2 Decimals" xfId="96" xr:uid="{00000000-0005-0000-0000-000065000000}"/>
    <cellStyle name="2_OtherSheet" xfId="127" xr:uid="{00000000-0005-0000-0000-000084000000}"/>
    <cellStyle name="20% - Accent1 2" xfId="97" xr:uid="{00000000-0005-0000-0000-000066000000}"/>
    <cellStyle name="20% - Accent1 2 2" xfId="98" xr:uid="{00000000-0005-0000-0000-000067000000}"/>
    <cellStyle name="20% - Accent1 3" xfId="99" xr:uid="{00000000-0005-0000-0000-000068000000}"/>
    <cellStyle name="20% - Accent1 4" xfId="100" xr:uid="{00000000-0005-0000-0000-000069000000}"/>
    <cellStyle name="20% - Accent1 5" xfId="101" xr:uid="{00000000-0005-0000-0000-00006A000000}"/>
    <cellStyle name="20% - Accent2 2" xfId="102" xr:uid="{00000000-0005-0000-0000-00006B000000}"/>
    <cellStyle name="20% - Accent2 2 2" xfId="103" xr:uid="{00000000-0005-0000-0000-00006C000000}"/>
    <cellStyle name="20% - Accent2 3" xfId="104" xr:uid="{00000000-0005-0000-0000-00006D000000}"/>
    <cellStyle name="20% - Accent2 4" xfId="105" xr:uid="{00000000-0005-0000-0000-00006E000000}"/>
    <cellStyle name="20% - Accent2 5" xfId="106" xr:uid="{00000000-0005-0000-0000-00006F000000}"/>
    <cellStyle name="20% - Accent3 2" xfId="107" xr:uid="{00000000-0005-0000-0000-000070000000}"/>
    <cellStyle name="20% - Accent3 2 2" xfId="108" xr:uid="{00000000-0005-0000-0000-000071000000}"/>
    <cellStyle name="20% - Accent3 3" xfId="109" xr:uid="{00000000-0005-0000-0000-000072000000}"/>
    <cellStyle name="20% - Accent3 4" xfId="110" xr:uid="{00000000-0005-0000-0000-000073000000}"/>
    <cellStyle name="20% - Accent3 5" xfId="111" xr:uid="{00000000-0005-0000-0000-000074000000}"/>
    <cellStyle name="20% - Accent4 2" xfId="112" xr:uid="{00000000-0005-0000-0000-000075000000}"/>
    <cellStyle name="20% - Accent4 2 2" xfId="113" xr:uid="{00000000-0005-0000-0000-000076000000}"/>
    <cellStyle name="20% - Accent4 3" xfId="114" xr:uid="{00000000-0005-0000-0000-000077000000}"/>
    <cellStyle name="20% - Accent4 4" xfId="115" xr:uid="{00000000-0005-0000-0000-000078000000}"/>
    <cellStyle name="20% - Accent4 5" xfId="116" xr:uid="{00000000-0005-0000-0000-000079000000}"/>
    <cellStyle name="20% - Accent5 2" xfId="117" xr:uid="{00000000-0005-0000-0000-00007A000000}"/>
    <cellStyle name="20% - Accent5 2 2" xfId="118" xr:uid="{00000000-0005-0000-0000-00007B000000}"/>
    <cellStyle name="20% - Accent5 3" xfId="119" xr:uid="{00000000-0005-0000-0000-00007C000000}"/>
    <cellStyle name="20% - Accent5 4" xfId="120" xr:uid="{00000000-0005-0000-0000-00007D000000}"/>
    <cellStyle name="20% - Accent5 5" xfId="121" xr:uid="{00000000-0005-0000-0000-00007E000000}"/>
    <cellStyle name="20% - Accent6 2" xfId="122" xr:uid="{00000000-0005-0000-0000-00007F000000}"/>
    <cellStyle name="20% - Accent6 2 2" xfId="123" xr:uid="{00000000-0005-0000-0000-000080000000}"/>
    <cellStyle name="20% - Accent6 3" xfId="124" xr:uid="{00000000-0005-0000-0000-000081000000}"/>
    <cellStyle name="20% - Accent6 4" xfId="125" xr:uid="{00000000-0005-0000-0000-000082000000}"/>
    <cellStyle name="20% - Accent6 5" xfId="126" xr:uid="{00000000-0005-0000-0000-000083000000}"/>
    <cellStyle name="3" xfId="128" xr:uid="{00000000-0005-0000-0000-000085000000}"/>
    <cellStyle name="3 Decimals" xfId="129" xr:uid="{00000000-0005-0000-0000-000086000000}"/>
    <cellStyle name="3_Quasi Rent Illustration" xfId="130" xr:uid="{00000000-0005-0000-0000-000087000000}"/>
    <cellStyle name="3_YLC" xfId="131" xr:uid="{00000000-0005-0000-0000-000088000000}"/>
    <cellStyle name="40% - Accent1 2" xfId="132" xr:uid="{00000000-0005-0000-0000-000089000000}"/>
    <cellStyle name="40% - Accent1 2 2" xfId="133" xr:uid="{00000000-0005-0000-0000-00008A000000}"/>
    <cellStyle name="40% - Accent1 3" xfId="134" xr:uid="{00000000-0005-0000-0000-00008B000000}"/>
    <cellStyle name="40% - Accent1 4" xfId="135" xr:uid="{00000000-0005-0000-0000-00008C000000}"/>
    <cellStyle name="40% - Accent1 5" xfId="136" xr:uid="{00000000-0005-0000-0000-00008D000000}"/>
    <cellStyle name="40% - Accent2 2" xfId="137" xr:uid="{00000000-0005-0000-0000-00008E000000}"/>
    <cellStyle name="40% - Accent2 2 2" xfId="138" xr:uid="{00000000-0005-0000-0000-00008F000000}"/>
    <cellStyle name="40% - Accent2 3" xfId="139" xr:uid="{00000000-0005-0000-0000-000090000000}"/>
    <cellStyle name="40% - Accent2 4" xfId="140" xr:uid="{00000000-0005-0000-0000-000091000000}"/>
    <cellStyle name="40% - Accent2 5" xfId="141" xr:uid="{00000000-0005-0000-0000-000092000000}"/>
    <cellStyle name="40% - Accent3 2" xfId="142" xr:uid="{00000000-0005-0000-0000-000093000000}"/>
    <cellStyle name="40% - Accent3 2 2" xfId="143" xr:uid="{00000000-0005-0000-0000-000094000000}"/>
    <cellStyle name="40% - Accent3 3" xfId="144" xr:uid="{00000000-0005-0000-0000-000095000000}"/>
    <cellStyle name="40% - Accent3 4" xfId="145" xr:uid="{00000000-0005-0000-0000-000096000000}"/>
    <cellStyle name="40% - Accent3 5" xfId="146" xr:uid="{00000000-0005-0000-0000-000097000000}"/>
    <cellStyle name="40% - Accent4 2" xfId="147" xr:uid="{00000000-0005-0000-0000-000098000000}"/>
    <cellStyle name="40% - Accent4 2 2" xfId="148" xr:uid="{00000000-0005-0000-0000-000099000000}"/>
    <cellStyle name="40% - Accent4 3" xfId="149" xr:uid="{00000000-0005-0000-0000-00009A000000}"/>
    <cellStyle name="40% - Accent4 4" xfId="150" xr:uid="{00000000-0005-0000-0000-00009B000000}"/>
    <cellStyle name="40% - Accent4 5" xfId="151" xr:uid="{00000000-0005-0000-0000-00009C000000}"/>
    <cellStyle name="40% - Accent5 2" xfId="152" xr:uid="{00000000-0005-0000-0000-00009D000000}"/>
    <cellStyle name="40% - Accent5 2 2" xfId="153" xr:uid="{00000000-0005-0000-0000-00009E000000}"/>
    <cellStyle name="40% - Accent5 3" xfId="154" xr:uid="{00000000-0005-0000-0000-00009F000000}"/>
    <cellStyle name="40% - Accent5 4" xfId="155" xr:uid="{00000000-0005-0000-0000-0000A0000000}"/>
    <cellStyle name="40% - Accent5 5" xfId="156" xr:uid="{00000000-0005-0000-0000-0000A1000000}"/>
    <cellStyle name="40% - Accent6 2" xfId="157" xr:uid="{00000000-0005-0000-0000-0000A2000000}"/>
    <cellStyle name="40% - Accent6 2 2" xfId="158" xr:uid="{00000000-0005-0000-0000-0000A3000000}"/>
    <cellStyle name="40% - Accent6 3" xfId="159" xr:uid="{00000000-0005-0000-0000-0000A4000000}"/>
    <cellStyle name="40% - Accent6 4" xfId="160" xr:uid="{00000000-0005-0000-0000-0000A5000000}"/>
    <cellStyle name="40% - Accent6 5" xfId="161" xr:uid="{00000000-0005-0000-0000-0000A6000000}"/>
    <cellStyle name="5_Percent" xfId="162" xr:uid="{00000000-0005-0000-0000-0000A7000000}"/>
    <cellStyle name="5_Percent 5" xfId="163" xr:uid="{00000000-0005-0000-0000-0000A8000000}"/>
    <cellStyle name="60% - Accent1 2" xfId="164" xr:uid="{00000000-0005-0000-0000-0000A9000000}"/>
    <cellStyle name="60% - Accent1 2 2" xfId="165" xr:uid="{00000000-0005-0000-0000-0000AA000000}"/>
    <cellStyle name="60% - Accent2 2" xfId="166" xr:uid="{00000000-0005-0000-0000-0000AB000000}"/>
    <cellStyle name="60% - Accent2 2 2" xfId="167" xr:uid="{00000000-0005-0000-0000-0000AC000000}"/>
    <cellStyle name="60% - Accent3 2" xfId="168" xr:uid="{00000000-0005-0000-0000-0000AD000000}"/>
    <cellStyle name="60% - Accent3 2 2" xfId="169" xr:uid="{00000000-0005-0000-0000-0000AE000000}"/>
    <cellStyle name="60% - Accent4 2" xfId="170" xr:uid="{00000000-0005-0000-0000-0000AF000000}"/>
    <cellStyle name="60% - Accent4 2 2" xfId="171" xr:uid="{00000000-0005-0000-0000-0000B0000000}"/>
    <cellStyle name="60% - Accent5 2" xfId="172" xr:uid="{00000000-0005-0000-0000-0000B1000000}"/>
    <cellStyle name="60% - Accent5 2 2" xfId="173" xr:uid="{00000000-0005-0000-0000-0000B2000000}"/>
    <cellStyle name="60% - Accent6 2" xfId="174" xr:uid="{00000000-0005-0000-0000-0000B3000000}"/>
    <cellStyle name="60% - Accent6 2 2" xfId="175" xr:uid="{00000000-0005-0000-0000-0000B4000000}"/>
    <cellStyle name="752131" xfId="176" xr:uid="{00000000-0005-0000-0000-0000B5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90201"/>
      <rgbColor rgb="FF008000"/>
      <rgbColor rgb="FF00017A"/>
      <rgbColor rgb="FF808000"/>
      <rgbColor rgb="FF800080"/>
      <rgbColor rgb="FF00857B"/>
      <rgbColor rgb="FFC0C0C0"/>
      <rgbColor rgb="FF808080"/>
      <rgbColor rgb="FF8EB4E3"/>
      <rgbColor rgb="FFC0504D"/>
      <rgbColor rgb="FFFFFFCC"/>
      <rgbColor rgb="FFCBFFFF"/>
      <rgbColor rgb="FFE6E0EC"/>
      <rgbColor rgb="FFFD8484"/>
      <rgbColor rgb="FF045FB5"/>
      <rgbColor rgb="FFCCCCFF"/>
      <rgbColor rgb="FFFDEADA"/>
      <rgbColor rgb="FFECDEE4"/>
      <rgbColor rgb="FFFCD5B5"/>
      <rgbColor rgb="FFB7DEE8"/>
      <rgbColor rgb="FFE4E0E9"/>
      <rgbColor rgb="FFEAEAEA"/>
      <rgbColor rgb="FFB9CDE5"/>
      <rgbColor rgb="FFEBF1DE"/>
      <rgbColor rgb="FF93B5C4"/>
      <rgbColor rgb="FFDBEEF4"/>
      <rgbColor rgb="FFCCFFCC"/>
      <rgbColor rgb="FFFFFF99"/>
      <rgbColor rgb="FF99CCFF"/>
      <rgbColor rgb="FFFF99CC"/>
      <rgbColor rgb="FFCC99FF"/>
      <rgbColor rgb="FFFFCC99"/>
      <rgbColor rgb="FF4781C8"/>
      <rgbColor rgb="FF33CCCC"/>
      <rgbColor rgb="FF93C196"/>
      <rgbColor rgb="FFFFE54D"/>
      <rgbColor rgb="FFFF8500"/>
      <rgbColor rgb="FFE6B9B8"/>
      <rgbColor rgb="FF588CD3"/>
      <rgbColor rgb="FF969696"/>
      <rgbColor rgb="FF115499"/>
      <rgbColor rgb="FF6D9BB5"/>
      <rgbColor rgb="FFDCE6F2"/>
      <rgbColor rgb="FFD7E4BD"/>
      <rgbColor rgb="FFCCC1DA"/>
      <rgbColor rgb="FFC09DE3"/>
      <rgbColor rgb="FF1F497D"/>
      <rgbColor rgb="FFC6D9F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ocuments%20and%20Settings/ldnhaf/Local%20Settings/Temporary%20Internet%20Files/OLKC/15%2003%2007%20Project%20Blue%20model%20(2).xls" TargetMode="External"/><Relationship Id="rId1" Type="http://schemas.openxmlformats.org/officeDocument/2006/relationships/externalLinkPath" Target="/H:/Documents%20and%20Settings/ldnhaf/Local%20Settings/Temporary%20Internet%20Files/OLKC/15%2003%2007%20Project%20Blue%20model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Clients/Babcock/Defence/Model/BB%20Defence%20Model%20v91.xls" TargetMode="External"/><Relationship Id="rId1" Type="http://schemas.openxmlformats.org/officeDocument/2006/relationships/externalLinkPath" Target="/H:/Corporate%20Finance%20Advice/Clients/Babcock/Defence/Model/BB%20Defence%20Model%20v9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MNILIAD/Workings/Nov%2005/Working%20file%20RelVal%20ODYSSEY%2003.11.05.xls" TargetMode="External"/><Relationship Id="rId1" Type="http://schemas.openxmlformats.org/officeDocument/2006/relationships/externalLinkPath" Target="/H:/MNILIAD/Workings/Nov%2005/Working%20file%20RelVal%20ODYSSEY%2003.11.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Projects/Project%20Bia/Models/Feb%202006/Project%20Bia_Feb%202006_v44.xls" TargetMode="External"/><Relationship Id="rId1" Type="http://schemas.openxmlformats.org/officeDocument/2006/relationships/externalLinkPath" Target="/H:/Corporate%20Finance%20Advice/Projects/Project%20Bia/Models/Feb%202006/Project%20Bia_Feb%202006_v4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ata/U416046/Temp/notes9DC704/Talvivaara%20Finance_08.05.06v01.xls" TargetMode="External"/><Relationship Id="rId1" Type="http://schemas.openxmlformats.org/officeDocument/2006/relationships/externalLinkPath" Target="/H:/data/U416046/Temp/notes9DC704/Talvivaara%20Finance_08.05.06v0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ata/U239287/Temp/notesB0A751/ENR%20v15_27.11.06.xls" TargetMode="External"/><Relationship Id="rId1" Type="http://schemas.openxmlformats.org/officeDocument/2006/relationships/externalLinkPath" Target="/H:/data/U239287/Temp/notesB0A751/ENR%20v15_27.11.06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Teams/M&amp;A/Esmond/Kazakhmys/2006/ENR%20Model%20V37.xls" TargetMode="External"/><Relationship Id="rId1" Type="http://schemas.openxmlformats.org/officeDocument/2006/relationships/externalLinkPath" Target="/H:/Corporate%20Finance%20Advice/Teams/M&amp;A/Esmond/Kazakhmys/2006/ENR%20Model%20V3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temp/MDOne.xls" TargetMode="External"/><Relationship Id="rId1" Type="http://schemas.openxmlformats.org/officeDocument/2006/relationships/externalLinkPath" Target="/H:/temp/MDOne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Gavin%20-%20Work%20Related/Month%20End/February%202005/Jan_%202005%20MANAGEMENT%20ACCOUNTS%20.xls" TargetMode="External"/><Relationship Id="rId1" Type="http://schemas.openxmlformats.org/officeDocument/2006/relationships/externalLinkPath" Target="/H:/Gavin%20-%20Work%20Related/Month%20End/February%202005/Jan_%202005%20MANAGEMENT%20ACCOUNTS%2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Teams/M&amp;A/Client%20Directory/H/Hays/Model/Recruitment_model_310507_v77.xls" TargetMode="External"/><Relationship Id="rId1" Type="http://schemas.openxmlformats.org/officeDocument/2006/relationships/externalLinkPath" Target="/H:/Corporate%20Finance%20Advice/Teams/M&amp;A/Client%20Directory/H/Hays/Model/Recruitment_model_310507_v77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Mining/Admin/Mincomps/General%20mining/2005/Mining%20Comps%2007_07_05.xls" TargetMode="External"/><Relationship Id="rId1" Type="http://schemas.openxmlformats.org/officeDocument/2006/relationships/externalLinkPath" Target="/H:/Mining/Admin/Mincomps/General%20mining/2005/Mining%20Comps%2007_07_05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:/Mergers/Client%20Directory/F/FKI/FKI_model_v3.xls" TargetMode="External"/><Relationship Id="rId1" Type="http://schemas.openxmlformats.org/officeDocument/2006/relationships/externalLinkPath" Target="/K:/Mergers/Client%20Directory/F/FKI/FKI_model_v3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Projects/Project%20Tuck/Models/Round%20II/Project%20Tuck_JPMC%20version%20v58.xls" TargetMode="External"/><Relationship Id="rId1" Type="http://schemas.openxmlformats.org/officeDocument/2006/relationships/externalLinkPath" Target="/H:/Corporate%20Finance%20Advice/Projects/Project%20Tuck/Models/Round%20II/Project%20Tuck_JPMC%20version%20v5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EAST.AD.JPMORGANCHASE.COM\HOME\files3\cf$\Corporate%20Finance%20Advice\Teams\M&amp;A\Christopher\Client%20Directory\BOC\Models\Merger%20models\2005\Project%20Tango%20Model%20(version%2050)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Clients/InterContinental%20Hotels/2008/Valuation%20and%20defence%20-%20June%202008/Data%20Files/Excel%20Data%20150608.xls" TargetMode="External"/><Relationship Id="rId1" Type="http://schemas.openxmlformats.org/officeDocument/2006/relationships/externalLinkPath" Target="/H:/Corporate%20Finance%20Advice/Clients/InterContinental%20Hotels/2008/Valuation%20and%20defence%20-%20June%202008/Data%20Files/Excel%20Data%20150608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OCUME~1/ldnegr/LOCALS~1/Temp/Temporary%20Directory%201%20for%20Copy%20of%20Rusal_model_v%2016%20xls.zip/Copy%20of%20Rusal_model_v.16.xls" TargetMode="External"/><Relationship Id="rId1" Type="http://schemas.openxmlformats.org/officeDocument/2006/relationships/externalLinkPath" Target="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ocuments%20and%20Settings/jfrehner/Local%20Settings/Temporary%20Internet%20Files/OLK94/legal/Anylyst%20Company%20Model/DCF%20Cocoon%20030716.xls" TargetMode="External"/><Relationship Id="rId1" Type="http://schemas.openxmlformats.org/officeDocument/2006/relationships/externalLinkPath" Target="/H:/Documents%20and%20Settings/jfrehner/Local%20Settings/Temporary%20Internet%20Files/OLK94/legal/Anylyst%20Company%20Model/DCF%20Cocoon%20030716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Gavin%20-%20Work%20Related/Month%20End/February%202005/Executive%20Summary%20(Tear%20Sheets).xls" TargetMode="External"/><Relationship Id="rId1" Type="http://schemas.openxmlformats.org/officeDocument/2006/relationships/externalLinkPath" Target="/H:/Gavin%20-%20Work%20Related/Month%20End/February%202005/Executive%20Summary%20(Tear%20Sheets)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:/Documents%20and%20Settings/amaharaj/Local%20Settings/Temporary%20Internet%20Files/OLK84/Project%20Victoria%20version%201.xls" TargetMode="External"/><Relationship Id="rId1" Type="http://schemas.openxmlformats.org/officeDocument/2006/relationships/externalLinkPath" Target="/G:/Documents%20and%20Settings/amaharaj/Local%20Settings/Temporary%20Internet%20Files/OLK84/Project%20Victoria%20version%20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Lydian/NGC%20ongoing/Lydian%20Model/NGCH%20Model%20(LCAJF).xls" TargetMode="External"/><Relationship Id="rId1" Type="http://schemas.openxmlformats.org/officeDocument/2006/relationships/externalLinkPath" Target="/H:/Lydian/NGC%20ongoing/Lydian%20Model/NGCH%20Model%20(LCAJF)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:/Deals/Dolphin/Lydian%20Model/legal/Anylyst%20Company%20Model/DCF%20Cocoon%20030716.xls" TargetMode="External"/><Relationship Id="rId1" Type="http://schemas.openxmlformats.org/officeDocument/2006/relationships/externalLinkPath" Target="/S:/Deals/Dolphin/Lydian%20Model/legal/Anylyst%20Company%20Model/DCF%20Cocoon%20030716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Corporate%20Finance%20Advice/Clients/Babcock/Project%20Diablo/Model/superceded/DML%20Model%20(version%2021).xls" TargetMode="External"/><Relationship Id="rId1" Type="http://schemas.openxmlformats.org/officeDocument/2006/relationships/externalLinkPath" Target="/H:/Corporate%20Finance%20Advice/Clients/Babcock/Project%20Diablo/Model/superceded/DML%20Model%20(version%2021)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:/Documents%20and%20Settings/u903129/Desktop/ChartPRO/ChartPRO%20Master%20v3m3.xls" TargetMode="External"/><Relationship Id="rId1" Type="http://schemas.openxmlformats.org/officeDocument/2006/relationships/externalLinkPath" Target="/F:/Documents%20and%20Settings/u903129/Desktop/ChartPRO/ChartPRO%20Master%20v3m3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ocuments%20and%20Settings/ldnarb/Desktop/field.xls" TargetMode="External"/><Relationship Id="rId1" Type="http://schemas.openxmlformats.org/officeDocument/2006/relationships/externalLinkPath" Target="/H:/Documents%20and%20Settings/ldnarb/Desktop/field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:/DOCUME~1/ldnegr/LOCALS~1/Temp/Temporary%20Directory%201%20for%20Working%20_ValCom_11.05.06_APK_FINALVALCOM.xls.zip/Working%20_ValCom_11.05.06_APK_FINALVALCOM.xls" TargetMode="External"/><Relationship Id="rId1" Type="http://schemas.openxmlformats.org/officeDocument/2006/relationships/externalLinkPath" Target="/H:/DOCUME~1/ldnegr/LOCALS~1/Temp/Temporary%20Directory%201%20for%20Working%20_ValCom_11.05.06_APK_FINALVALCOM.xls.zip/Working%20_ValCom_11.05.06_APK_FINALVALCO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  <sheetName val="PS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  <sheetName val="V"/>
      <sheetName val="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  <sheetName val="COCKPIT"/>
      <sheetName val="LBO"/>
      <sheetName val="Blue Corning Cluster_COCKPIT"/>
      <sheetName val="Agriculture Cluster_COCKPIT"/>
      <sheetName val="Specialty Chem Cluster_COCKPIT"/>
      <sheetName val="Stdalone Other Cluster_COCKPIT"/>
      <sheetName val="Specialty Plast Cluster_COCKP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  <sheetName val="Combined"/>
      <sheetName val="Consultancy"/>
      <sheetName val="Defence Systems"/>
      <sheetName val="SOTP"/>
      <sheetName val="Ships"/>
      <sheetName val="Submarine"/>
      <sheetName val="Debt"/>
      <sheetName val="Babcock synergies"/>
      <sheetName val="Valuation"/>
      <sheetName val="VT DCF"/>
      <sheetName val="WS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  <sheetName val="PPS"/>
      <sheetName val="DCF"/>
      <sheetName val="CFS"/>
      <sheetName val="LBO"/>
      <sheetName val="NOSH—Mar 05"/>
      <sheetName val="Assumptions"/>
      <sheetName val="Pension"/>
      <sheetName val="PE_Bands"/>
      <sheetName val="Dea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  <sheetName val="W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  <sheetName val="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  <sheetName val="DEA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  <sheetName val="Clubs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  <sheetName val="Ved_DealSheet"/>
      <sheetName val="Hays_Financials_Cal"/>
      <sheetName val="Hays_PPS"/>
      <sheetName val="Shr_Graphs"/>
      <sheetName val="Hays_Consolidated_AVP"/>
      <sheetName val="Hays_DealSheet"/>
      <sheetName val="PF_PPS"/>
      <sheetName val="Hays_VED_MV"/>
      <sheetName val="Ved_Financials_Cal"/>
      <sheetName val="Ved_P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  <sheetName val="Input"/>
      <sheetName val="Financ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  <sheetName val="Toggles"/>
    </sheetNames>
    <sheetDataSet>
      <sheetData sheetId="0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WAP"/>
      <sheetName val="Buy-In Analysis"/>
      <sheetName val="__FDSCACHE__"/>
      <sheetName val="Share price performance"/>
      <sheetName val="Broker Estimates"/>
      <sheetName val="DCF_Group"/>
      <sheetName val="PF_B+W+A_IS&amp;CF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GRY"/>
      <sheetName val="NGPS"/>
      <sheetName val="Validation &amp; Graph Calcs"/>
      <sheetName val="Share price performan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  <sheetName val="DCF I (I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  <sheetName val="Validation &amp; Graph Cal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  <sheetName val="Error Check"/>
      <sheetName val="Scenarios"/>
      <sheetName val="Inc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  <sheetName val="Edinburgh"/>
      <sheetName val="Dund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  <sheetName val="DCF I (I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  <sheetName val="Combi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  <sheetName val="Data Arrang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zoomScaleNormal="100" workbookViewId="0">
      <selection activeCell="B1" sqref="B1"/>
    </sheetView>
  </sheetViews>
  <sheetFormatPr defaultColWidth="8.88671875" defaultRowHeight="13.2"/>
  <sheetData>
    <row r="1" spans="1:2" ht="12.75" customHeight="1">
      <c r="B1" t="s">
        <v>36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C9:W43"/>
  <sheetViews>
    <sheetView showGridLines="0" tabSelected="1" zoomScale="85" zoomScaleNormal="85" workbookViewId="0"/>
  </sheetViews>
  <sheetFormatPr defaultColWidth="9.109375" defaultRowHeight="13.2"/>
  <cols>
    <col min="1" max="1" width="3" style="1" customWidth="1"/>
    <col min="2" max="4" width="2.88671875" style="1" customWidth="1"/>
    <col min="5" max="5" width="28.44140625" style="1" customWidth="1"/>
    <col min="6" max="8" width="7.109375" style="1" customWidth="1"/>
    <col min="9" max="14" width="9.109375" style="1" customWidth="1"/>
    <col min="15" max="15" width="12.88671875" style="1" customWidth="1"/>
    <col min="16" max="16" width="9.109375" style="1" customWidth="1"/>
    <col min="17" max="17" width="10" style="1" customWidth="1"/>
    <col min="18" max="18" width="9.109375" style="1" customWidth="1"/>
    <col min="19" max="19" width="15.44140625" style="1" customWidth="1"/>
    <col min="20" max="20" width="8.44140625" style="1" customWidth="1"/>
    <col min="21" max="21" width="3.6640625" style="1" customWidth="1"/>
    <col min="22" max="22" width="9.109375" style="1" customWidth="1"/>
    <col min="23" max="16384" width="9.109375" style="1"/>
  </cols>
  <sheetData>
    <row r="9" spans="3:23" ht="19.5" customHeight="1">
      <c r="D9" s="2"/>
      <c r="E9" s="3"/>
      <c r="F9" s="3"/>
      <c r="G9" s="3"/>
      <c r="H9" s="3"/>
      <c r="I9" s="3"/>
      <c r="J9" s="3"/>
      <c r="K9" s="3"/>
      <c r="L9" s="3"/>
      <c r="M9" s="3"/>
      <c r="N9" s="3"/>
    </row>
    <row r="12" spans="3:23" ht="12.75" customHeight="1">
      <c r="W12" s="4"/>
    </row>
    <row r="14" spans="3:23" ht="12.75" customHeight="1">
      <c r="C14" s="5"/>
      <c r="D14" s="320" t="s">
        <v>37</v>
      </c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</row>
    <row r="15" spans="3:23" ht="12.75" customHeight="1">
      <c r="C15" s="5"/>
      <c r="D15" s="322"/>
      <c r="E15" s="321"/>
      <c r="F15" s="321"/>
      <c r="G15" s="321"/>
      <c r="H15" s="3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</row>
    <row r="16" spans="3:23" ht="12.75" customHeight="1">
      <c r="C16" s="5"/>
      <c r="D16" s="322"/>
      <c r="E16" s="321"/>
      <c r="F16" s="321"/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</row>
    <row r="17" spans="3:22" ht="12.75" customHeight="1">
      <c r="D17" s="322"/>
      <c r="E17" s="32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</row>
    <row r="19" spans="3:22" ht="18.75" customHeight="1">
      <c r="C19" s="323" t="s">
        <v>38</v>
      </c>
      <c r="E19" s="6">
        <f>Assumptions!D12</f>
        <v>43921</v>
      </c>
    </row>
    <row r="20" spans="3:22" ht="12.75" customHeight="1">
      <c r="C20" s="324"/>
    </row>
    <row r="21" spans="3:22" ht="12.75" customHeight="1">
      <c r="C21" s="324"/>
    </row>
    <row r="22" spans="3:22" ht="12.75" customHeight="1">
      <c r="C22" s="324"/>
    </row>
    <row r="23" spans="3:22" ht="12.75" customHeight="1">
      <c r="C23" s="324"/>
    </row>
    <row r="24" spans="3:22" ht="12.75" customHeight="1">
      <c r="C24" s="324"/>
    </row>
    <row r="25" spans="3:22" ht="12.75" customHeight="1">
      <c r="C25" s="324"/>
    </row>
    <row r="26" spans="3:22" ht="12.75" customHeight="1">
      <c r="C26" s="324"/>
    </row>
    <row r="27" spans="3:22" ht="12.75" customHeight="1">
      <c r="C27" s="324"/>
    </row>
    <row r="28" spans="3:22" ht="12.75" customHeight="1">
      <c r="C28" s="324"/>
      <c r="Q28" s="1" t="s">
        <v>39</v>
      </c>
    </row>
    <row r="29" spans="3:22" ht="4.5" customHeight="1">
      <c r="C29" s="324"/>
    </row>
    <row r="30" spans="3:22" ht="12.75" customHeight="1">
      <c r="C30" s="324"/>
      <c r="Q30" s="7"/>
      <c r="R30" s="8"/>
      <c r="S30" s="8"/>
    </row>
    <row r="31" spans="3:22" ht="12.75" customHeight="1">
      <c r="C31" s="324"/>
      <c r="Q31" s="8"/>
      <c r="R31" s="8"/>
      <c r="S31" s="8"/>
      <c r="V31" s="9"/>
    </row>
    <row r="32" spans="3:22" ht="12.75" customHeight="1">
      <c r="C32" s="324"/>
      <c r="Q32" s="8"/>
      <c r="R32" s="8"/>
      <c r="S32" s="8"/>
    </row>
    <row r="33" spans="3:19" ht="12.75" customHeight="1">
      <c r="C33" s="324"/>
      <c r="Q33" s="8"/>
      <c r="R33" s="8"/>
      <c r="S33" s="8"/>
    </row>
    <row r="34" spans="3:19" ht="12.75" customHeight="1">
      <c r="C34" s="324"/>
      <c r="Q34" s="8"/>
      <c r="R34" s="8"/>
      <c r="S34" s="8"/>
    </row>
    <row r="35" spans="3:19" ht="4.5" customHeight="1">
      <c r="C35" s="324"/>
      <c r="Q35" s="8"/>
      <c r="R35" s="8"/>
      <c r="S35" s="8"/>
    </row>
    <row r="36" spans="3:19" ht="12.75" customHeight="1">
      <c r="C36" s="324"/>
      <c r="Q36" s="8"/>
      <c r="R36" s="8"/>
      <c r="S36" s="8"/>
    </row>
    <row r="37" spans="3:19" ht="12.75" customHeight="1">
      <c r="C37" s="324"/>
      <c r="Q37" s="8"/>
      <c r="R37" s="8"/>
      <c r="S37" s="8"/>
    </row>
    <row r="38" spans="3:19" ht="12.75" customHeight="1">
      <c r="C38" s="324"/>
      <c r="Q38" s="8"/>
      <c r="R38" s="8"/>
      <c r="S38" s="8"/>
    </row>
    <row r="39" spans="3:19" ht="12.75" customHeight="1">
      <c r="C39" s="324"/>
      <c r="Q39" s="8"/>
      <c r="R39" s="8"/>
      <c r="S39" s="8"/>
    </row>
    <row r="40" spans="3:19" ht="12.75" customHeight="1">
      <c r="C40" s="324"/>
    </row>
    <row r="41" spans="3:19" ht="12.75" customHeight="1">
      <c r="C41" s="324"/>
    </row>
    <row r="42" spans="3:19" ht="12.75" customHeight="1">
      <c r="C42" s="324"/>
    </row>
    <row r="43" spans="3:19" ht="12.75" customHeight="1">
      <c r="C43" s="324"/>
    </row>
  </sheetData>
  <mergeCells count="2">
    <mergeCell ref="D14:T17"/>
    <mergeCell ref="C19:C43"/>
  </mergeCells>
  <hyperlinks>
    <hyperlink ref="Q28" r:id="rId1" xr:uid="{00000000-0004-0000-0100-000000000000}"/>
  </hyperlinks>
  <pageMargins left="0.74791666666666701" right="0.74791666666666701" top="0.98402777777777795" bottom="0.98402777777777795" header="0.511811023622047" footer="0.511811023622047"/>
  <pageSetup paperSize="9" scale="7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88671875" defaultRowHeight="13.2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D9F1"/>
  </sheetPr>
  <dimension ref="C3:K24"/>
  <sheetViews>
    <sheetView showGridLines="0" zoomScale="85" zoomScaleNormal="85" workbookViewId="0">
      <selection activeCell="D12" sqref="D12"/>
    </sheetView>
  </sheetViews>
  <sheetFormatPr defaultColWidth="8.88671875" defaultRowHeight="13.2"/>
  <cols>
    <col min="1" max="1" width="3" customWidth="1"/>
    <col min="2" max="2" width="2.88671875" customWidth="1"/>
    <col min="3" max="3" width="32.44140625" customWidth="1"/>
    <col min="4" max="4" width="9.6640625" customWidth="1"/>
    <col min="5" max="5" width="9.33203125" customWidth="1"/>
    <col min="6" max="6" width="18.44140625" customWidth="1"/>
    <col min="8" max="9" width="9.109375" customWidth="1"/>
    <col min="12" max="12" width="2.88671875" customWidth="1"/>
  </cols>
  <sheetData>
    <row r="3" spans="3:11" ht="20.25" customHeight="1">
      <c r="C3" s="10" t="s">
        <v>40</v>
      </c>
      <c r="D3" s="11"/>
      <c r="E3" s="11"/>
      <c r="F3" s="11"/>
      <c r="G3" s="11"/>
      <c r="H3" s="11"/>
      <c r="I3" s="11"/>
      <c r="J3" s="11"/>
      <c r="K3" s="11"/>
    </row>
    <row r="4" spans="3:11" ht="4.5" customHeight="1"/>
    <row r="5" spans="3:11" ht="12.75" customHeight="1">
      <c r="C5" s="12" t="s">
        <v>41</v>
      </c>
      <c r="D5" s="12"/>
      <c r="E5" s="12"/>
      <c r="F5" s="12"/>
      <c r="G5" s="12"/>
      <c r="H5" s="12"/>
      <c r="I5" s="12"/>
      <c r="J5" s="12"/>
      <c r="K5" s="12"/>
    </row>
    <row r="6" spans="3:11" ht="12.75" customHeight="1"/>
    <row r="7" spans="3:11" ht="12.75" customHeight="1">
      <c r="C7" t="s">
        <v>42</v>
      </c>
      <c r="D7" s="13">
        <v>1</v>
      </c>
    </row>
    <row r="9" spans="3:11" ht="12.75" customHeight="1">
      <c r="C9" s="12" t="s">
        <v>43</v>
      </c>
      <c r="D9" s="12"/>
      <c r="E9" s="12"/>
      <c r="F9" s="12"/>
      <c r="G9" s="12"/>
      <c r="H9" s="12"/>
      <c r="I9" s="12"/>
      <c r="J9" s="12"/>
      <c r="K9" s="12"/>
    </row>
    <row r="11" spans="3:11" ht="12.75" customHeight="1">
      <c r="C11" t="s">
        <v>44</v>
      </c>
      <c r="D11" s="14">
        <v>43554</v>
      </c>
    </row>
    <row r="12" spans="3:11" ht="12.75" customHeight="1">
      <c r="C12" t="s">
        <v>45</v>
      </c>
      <c r="D12" s="14">
        <v>43921</v>
      </c>
    </row>
    <row r="14" spans="3:11" ht="12.75" customHeight="1">
      <c r="C14" s="15" t="s">
        <v>46</v>
      </c>
      <c r="D14" s="15"/>
      <c r="E14" s="15"/>
      <c r="F14" s="12"/>
      <c r="G14" s="12"/>
      <c r="H14" s="12"/>
      <c r="I14" s="12"/>
      <c r="J14" s="12"/>
      <c r="K14" s="12"/>
    </row>
    <row r="15" spans="3:11" ht="12.75" customHeight="1">
      <c r="C15" s="16"/>
      <c r="D15" s="16"/>
      <c r="E15" s="17"/>
    </row>
    <row r="16" spans="3:11" ht="12.75" customHeight="1">
      <c r="C16" s="16" t="s">
        <v>47</v>
      </c>
      <c r="D16" s="18">
        <v>165</v>
      </c>
      <c r="E16" s="19" t="s">
        <v>48</v>
      </c>
    </row>
    <row r="17" spans="3:7" ht="12.75" customHeight="1">
      <c r="C17" s="16" t="s">
        <v>49</v>
      </c>
      <c r="D17" s="18">
        <v>199</v>
      </c>
    </row>
    <row r="18" spans="3:7" ht="12.75" customHeight="1">
      <c r="C18" s="16" t="s">
        <v>50</v>
      </c>
      <c r="D18" s="20">
        <f>(D16*D17)/100</f>
        <v>328.35</v>
      </c>
      <c r="E18" s="17"/>
    </row>
    <row r="19" spans="3:7" ht="12.75" customHeight="1">
      <c r="C19" s="16" t="s">
        <v>51</v>
      </c>
      <c r="D19" s="21">
        <f>-'Company fin forecasts'!B35</f>
        <v>84.616813539585507</v>
      </c>
      <c r="E19" s="17"/>
      <c r="G19" s="22"/>
    </row>
    <row r="20" spans="3:7" ht="12.75" customHeight="1">
      <c r="C20" s="16" t="s">
        <v>52</v>
      </c>
      <c r="D20" s="23">
        <v>0</v>
      </c>
      <c r="E20" s="17"/>
    </row>
    <row r="21" spans="3:7" ht="12.75" customHeight="1">
      <c r="C21" s="16" t="s">
        <v>53</v>
      </c>
      <c r="D21" s="23">
        <v>0</v>
      </c>
      <c r="E21" s="17"/>
    </row>
    <row r="22" spans="3:7" ht="12.75" customHeight="1">
      <c r="C22" s="16" t="s">
        <v>54</v>
      </c>
      <c r="D22" s="23">
        <v>0</v>
      </c>
      <c r="E22" s="24"/>
    </row>
    <row r="23" spans="3:7" ht="12.75" customHeight="1">
      <c r="C23" s="16"/>
      <c r="D23" s="20"/>
      <c r="E23" s="16"/>
    </row>
    <row r="24" spans="3:7" ht="12.75" customHeight="1">
      <c r="C24" s="25" t="s">
        <v>55</v>
      </c>
      <c r="D24" s="26">
        <f>D18+D19+D20+D21+D22</f>
        <v>412.96681353958553</v>
      </c>
      <c r="E24" s="16"/>
      <c r="F24" s="27"/>
      <c r="G24" s="27"/>
    </row>
  </sheetData>
  <pageMargins left="0.70833333333333304" right="0.70833333333333304" top="0.74791666666666701" bottom="0.74791666666666701" header="0.511811023622047" footer="0.511811023622047"/>
  <pageSetup paperSize="9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zoomScale="85" zoomScaleNormal="85" workbookViewId="0"/>
  </sheetViews>
  <sheetFormatPr defaultColWidth="9.109375" defaultRowHeight="13.2"/>
  <cols>
    <col min="1" max="1" width="30.6640625" customWidth="1"/>
    <col min="2" max="2" width="9.88671875" customWidth="1"/>
    <col min="3" max="6" width="9.44140625" customWidth="1"/>
    <col min="7" max="7" width="9.109375" customWidth="1"/>
  </cols>
  <sheetData>
    <row r="1" spans="1:12" ht="21" customHeight="1">
      <c r="A1" s="28" t="s">
        <v>0</v>
      </c>
    </row>
    <row r="2" spans="1:12" ht="21" customHeight="1">
      <c r="A2" s="28"/>
    </row>
    <row r="3" spans="1:12" ht="12.75" customHeight="1">
      <c r="B3" s="318" t="s">
        <v>1</v>
      </c>
      <c r="C3" s="319"/>
      <c r="D3" s="319"/>
      <c r="E3" s="319"/>
      <c r="F3" s="319"/>
    </row>
    <row r="4" spans="1:12" ht="15" customHeight="1"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</row>
    <row r="5" spans="1:12" ht="15" customHeight="1">
      <c r="A5" t="s">
        <v>7</v>
      </c>
      <c r="B5" s="30">
        <v>1149.23121421216</v>
      </c>
      <c r="C5" s="31">
        <v>1100</v>
      </c>
      <c r="D5" s="30">
        <v>1353.8373857301599</v>
      </c>
      <c r="E5" s="30">
        <v>1446.9754795854401</v>
      </c>
      <c r="F5" s="30">
        <v>1442.6203434362001</v>
      </c>
      <c r="L5" s="32"/>
    </row>
    <row r="6" spans="1:12" ht="15" customHeight="1">
      <c r="A6" t="s">
        <v>8</v>
      </c>
      <c r="B6" s="33"/>
      <c r="C6" s="34">
        <f>(C5-B5)/B5</f>
        <v>-4.2838389353973307E-2</v>
      </c>
      <c r="D6" s="34">
        <f>D5/C5-1</f>
        <v>0.23076125975469086</v>
      </c>
      <c r="E6" s="34">
        <f>E5/D5-1</f>
        <v>6.8795628512687612E-2</v>
      </c>
      <c r="F6" s="34">
        <f>F5/E5-1</f>
        <v>-3.0098202842302468E-3</v>
      </c>
    </row>
    <row r="7" spans="1:12" ht="15" customHeight="1">
      <c r="A7" t="s">
        <v>9</v>
      </c>
      <c r="B7" s="30">
        <v>583.04965087049095</v>
      </c>
      <c r="C7" s="35">
        <f>C5*C8</f>
        <v>550</v>
      </c>
      <c r="D7" s="30">
        <v>689.15767217994403</v>
      </c>
      <c r="E7" s="30">
        <v>736.80093729452096</v>
      </c>
      <c r="F7" s="30">
        <v>753.12425648235296</v>
      </c>
    </row>
    <row r="8" spans="1:12" ht="15" customHeight="1">
      <c r="A8" s="36" t="s">
        <v>10</v>
      </c>
      <c r="B8" s="34">
        <f>B7/B5</f>
        <v>0.507338857194366</v>
      </c>
      <c r="C8" s="37">
        <v>0.5</v>
      </c>
      <c r="D8" s="34">
        <f>D7/D5</f>
        <v>0.5090402137242378</v>
      </c>
      <c r="E8" s="34">
        <f>E7/E5</f>
        <v>0.50920070705387155</v>
      </c>
      <c r="F8" s="34">
        <f>F7/F5</f>
        <v>0.52205298497903785</v>
      </c>
    </row>
    <row r="9" spans="1:12" ht="15" customHeight="1">
      <c r="A9" t="s">
        <v>11</v>
      </c>
      <c r="B9" s="30">
        <v>-522.72817715549797</v>
      </c>
      <c r="C9" s="30">
        <v>-580.012889249968</v>
      </c>
      <c r="D9" s="30">
        <v>-622.42079355856094</v>
      </c>
      <c r="E9" s="30">
        <v>-662.100139862883</v>
      </c>
      <c r="F9" s="30">
        <v>-678.11530593625503</v>
      </c>
    </row>
    <row r="10" spans="1:12" ht="15" customHeight="1">
      <c r="A10" s="38" t="s">
        <v>12</v>
      </c>
      <c r="B10" s="39">
        <f>SUM(B9,B7)</f>
        <v>60.321473714992976</v>
      </c>
      <c r="C10" s="39">
        <f>C7+C9</f>
        <v>-30.012889249967998</v>
      </c>
      <c r="D10" s="39">
        <f>SUM(D9,D7)</f>
        <v>66.736878621383084</v>
      </c>
      <c r="E10" s="39">
        <f>SUM(E9,E7)</f>
        <v>74.700797431637966</v>
      </c>
      <c r="F10" s="39">
        <f>SUM(F9,F7)</f>
        <v>75.008950546097935</v>
      </c>
    </row>
    <row r="11" spans="1:12" ht="15" customHeight="1">
      <c r="A11" s="36" t="s">
        <v>13</v>
      </c>
      <c r="B11" s="34">
        <f>B10/B5</f>
        <v>5.2488544488713311E-2</v>
      </c>
      <c r="C11" s="34">
        <f>C10/C5</f>
        <v>-2.7284444772698181E-2</v>
      </c>
      <c r="D11" s="34">
        <f>D10/D5</f>
        <v>4.9294604599347903E-2</v>
      </c>
      <c r="E11" s="34">
        <f>E10/E5</f>
        <v>5.1625475680513823E-2</v>
      </c>
      <c r="F11" s="34">
        <f>F10/F5</f>
        <v>5.1994934694621686E-2</v>
      </c>
    </row>
    <row r="12" spans="1:12" ht="15" customHeight="1">
      <c r="A12" t="s">
        <v>14</v>
      </c>
      <c r="B12" s="30">
        <v>-5.40347945205479</v>
      </c>
      <c r="C12" s="30">
        <v>-6.34</v>
      </c>
      <c r="D12" s="30">
        <v>-6.2354000000000003</v>
      </c>
      <c r="E12" s="30">
        <v>-6.2354000000000003</v>
      </c>
      <c r="F12" s="30">
        <v>-6.34073333333333</v>
      </c>
    </row>
    <row r="13" spans="1:12" ht="15" customHeight="1">
      <c r="A13" s="38" t="s">
        <v>15</v>
      </c>
      <c r="B13" s="39">
        <f>B12+B10</f>
        <v>54.917994262938187</v>
      </c>
      <c r="C13" s="39">
        <f>C10+C12</f>
        <v>-36.352889249968001</v>
      </c>
      <c r="D13" s="39">
        <f>D12+D10</f>
        <v>60.501478621383086</v>
      </c>
      <c r="E13" s="39">
        <f>E12+E10</f>
        <v>68.465397431637967</v>
      </c>
      <c r="F13" s="39">
        <f>F12+F10</f>
        <v>68.668217212764603</v>
      </c>
    </row>
    <row r="14" spans="1:12" ht="15" customHeight="1">
      <c r="B14" s="33"/>
      <c r="C14" s="33"/>
      <c r="D14" s="33"/>
      <c r="E14" s="33"/>
      <c r="F14" s="33"/>
      <c r="G14" s="40"/>
    </row>
    <row r="15" spans="1:12" ht="15" customHeight="1">
      <c r="A15" t="s">
        <v>16</v>
      </c>
      <c r="B15" s="30"/>
      <c r="C15" s="30">
        <v>-18.004468664734802</v>
      </c>
      <c r="D15" s="30">
        <v>-6.7527180429793701</v>
      </c>
      <c r="E15" s="30">
        <v>1.13845402631888</v>
      </c>
      <c r="F15" s="30">
        <v>-4.8650405710493096</v>
      </c>
    </row>
    <row r="16" spans="1:12" ht="15" customHeight="1">
      <c r="A16" s="38" t="s">
        <v>17</v>
      </c>
      <c r="B16" s="39">
        <f>B15+B13</f>
        <v>54.917994262938187</v>
      </c>
      <c r="C16" s="39">
        <f>C13+C15</f>
        <v>-54.357357914702803</v>
      </c>
      <c r="D16" s="39">
        <f>D15+D13</f>
        <v>53.748760578403719</v>
      </c>
      <c r="E16" s="39">
        <f>E15+E13</f>
        <v>69.60385145795685</v>
      </c>
      <c r="F16" s="39">
        <f>F15+F13</f>
        <v>63.803176641715297</v>
      </c>
    </row>
    <row r="17" spans="1:6" ht="15" customHeight="1">
      <c r="A17" s="41" t="s">
        <v>18</v>
      </c>
      <c r="B17" s="30">
        <v>3.1</v>
      </c>
      <c r="C17" s="30">
        <v>4.0999999999999996</v>
      </c>
      <c r="D17" s="30">
        <v>4.0999999999999996</v>
      </c>
      <c r="E17" s="30">
        <v>4.0999999999999996</v>
      </c>
      <c r="F17" s="30">
        <v>4.0999999999999996</v>
      </c>
    </row>
    <row r="18" spans="1:6" ht="15" customHeight="1">
      <c r="A18" s="41" t="s">
        <v>19</v>
      </c>
      <c r="B18" s="30">
        <v>2.1</v>
      </c>
      <c r="C18" s="30">
        <v>2.0132666666666701</v>
      </c>
      <c r="D18" s="30">
        <v>1.9086666666666701</v>
      </c>
      <c r="E18" s="30">
        <v>1.9086666666666701</v>
      </c>
      <c r="F18" s="30">
        <v>1.9086666666666701</v>
      </c>
    </row>
    <row r="19" spans="1:6" ht="15" customHeight="1">
      <c r="A19" s="41" t="s">
        <v>20</v>
      </c>
      <c r="B19" s="30">
        <v>34.029215399999998</v>
      </c>
      <c r="C19" s="30">
        <v>38.442026856682403</v>
      </c>
      <c r="D19" s="30">
        <v>45.286590949142102</v>
      </c>
      <c r="E19" s="30">
        <v>49.920876920897499</v>
      </c>
      <c r="F19" s="30">
        <v>52.891245475492497</v>
      </c>
    </row>
    <row r="20" spans="1:6" ht="15" customHeight="1">
      <c r="A20" s="38" t="s">
        <v>21</v>
      </c>
      <c r="B20" s="39">
        <f>SUM(B16:B19)</f>
        <v>94.147209662938195</v>
      </c>
      <c r="C20" s="39">
        <f>C16+C17+C18+C19</f>
        <v>-9.8020643913537242</v>
      </c>
      <c r="D20" s="39">
        <f>SUM(D16:D19)</f>
        <v>105.0440181942125</v>
      </c>
      <c r="E20" s="39">
        <f>SUM(E16:E19)</f>
        <v>125.53339504552102</v>
      </c>
      <c r="F20" s="39">
        <f>SUM(F16:F19)</f>
        <v>122.70308878387446</v>
      </c>
    </row>
    <row r="21" spans="1:6" ht="15" customHeight="1">
      <c r="B21" s="30"/>
      <c r="C21" s="30"/>
      <c r="D21" s="33"/>
      <c r="E21" s="33"/>
      <c r="F21" s="33"/>
    </row>
    <row r="22" spans="1:6" ht="15" customHeight="1">
      <c r="A22" t="s">
        <v>22</v>
      </c>
      <c r="B22" s="30">
        <v>0</v>
      </c>
      <c r="C22" s="30">
        <v>0</v>
      </c>
      <c r="D22" s="30">
        <v>0</v>
      </c>
      <c r="E22" s="30">
        <v>24</v>
      </c>
      <c r="F22" s="30">
        <v>0</v>
      </c>
    </row>
    <row r="23" spans="1:6" ht="15" customHeight="1">
      <c r="A23" t="s">
        <v>23</v>
      </c>
      <c r="B23" s="30">
        <v>-36</v>
      </c>
      <c r="C23" s="30">
        <v>-51</v>
      </c>
      <c r="D23" s="30">
        <v>-50</v>
      </c>
      <c r="E23" s="30">
        <v>-50</v>
      </c>
      <c r="F23" s="30">
        <v>-50</v>
      </c>
    </row>
    <row r="24" spans="1:6" ht="15" customHeight="1">
      <c r="A24" t="s">
        <v>24</v>
      </c>
      <c r="B24" s="30">
        <v>-9.1999999999999993</v>
      </c>
      <c r="C24" s="30">
        <v>-9.1999999999999993</v>
      </c>
      <c r="D24" s="30">
        <v>0</v>
      </c>
      <c r="E24" s="30">
        <v>0</v>
      </c>
      <c r="F24" s="30">
        <v>0</v>
      </c>
    </row>
    <row r="25" spans="1:6" ht="15" customHeight="1">
      <c r="A25" t="s">
        <v>25</v>
      </c>
      <c r="B25" s="30">
        <v>-18.0640232025237</v>
      </c>
      <c r="C25" s="30">
        <v>-8.6934140817306105</v>
      </c>
      <c r="D25" s="30">
        <v>-10.931078151849</v>
      </c>
      <c r="E25" s="30">
        <v>-12.3645835376949</v>
      </c>
      <c r="F25" s="30">
        <v>-12.4200510982976</v>
      </c>
    </row>
    <row r="26" spans="1:6" ht="15" customHeight="1">
      <c r="A26" t="s">
        <v>26</v>
      </c>
      <c r="B26" s="30">
        <v>-3.1</v>
      </c>
      <c r="C26" s="30">
        <v>-4.0999999999999996</v>
      </c>
      <c r="D26" s="30">
        <v>-4.0999999999999996</v>
      </c>
      <c r="E26" s="30">
        <v>-4.0999999999999996</v>
      </c>
      <c r="F26" s="30">
        <v>-4.0999999999999996</v>
      </c>
    </row>
    <row r="27" spans="1:6" ht="15" customHeight="1">
      <c r="A27" t="s">
        <v>27</v>
      </c>
      <c r="B27" s="30">
        <v>6</v>
      </c>
      <c r="C27" s="30">
        <v>16.1119544409034</v>
      </c>
      <c r="D27" s="30">
        <v>15.1688926668047</v>
      </c>
      <c r="E27" s="30">
        <v>11.1102169006686</v>
      </c>
      <c r="F27" s="30">
        <v>3.9548595532390398</v>
      </c>
    </row>
    <row r="28" spans="1:6" ht="15" customHeight="1">
      <c r="A28" t="s">
        <v>28</v>
      </c>
      <c r="B28" s="30">
        <v>-36.6</v>
      </c>
      <c r="C28" s="30">
        <v>-24</v>
      </c>
      <c r="D28" s="30">
        <v>-24</v>
      </c>
      <c r="E28" s="30">
        <v>-24</v>
      </c>
      <c r="F28" s="30">
        <v>-24</v>
      </c>
    </row>
    <row r="29" spans="1:6" ht="15" customHeight="1">
      <c r="A29" t="s">
        <v>29</v>
      </c>
      <c r="B29" s="30">
        <v>0</v>
      </c>
      <c r="C29" s="30"/>
      <c r="D29" s="30">
        <v>-5</v>
      </c>
      <c r="E29" s="30">
        <v>-5</v>
      </c>
      <c r="F29" s="30">
        <v>-5</v>
      </c>
    </row>
    <row r="30" spans="1:6" ht="15" customHeight="1">
      <c r="B30" s="33"/>
      <c r="C30" s="33"/>
      <c r="D30" s="33"/>
      <c r="E30" s="33"/>
      <c r="F30" s="33"/>
    </row>
    <row r="31" spans="1:6" ht="15" customHeight="1">
      <c r="A31" t="s">
        <v>30</v>
      </c>
      <c r="B31" s="39">
        <f>SUM(B20:B30)</f>
        <v>-2.8168135395855103</v>
      </c>
      <c r="C31" s="39">
        <f>C16+C17+C18+C19+C22+C23+C24+C25+C26+C27+C28+C29</f>
        <v>-90.683524032180927</v>
      </c>
      <c r="D31" s="39">
        <f>SUM(D20:D30)</f>
        <v>26.181832709168198</v>
      </c>
      <c r="E31" s="39">
        <f>SUM(E20:E30)</f>
        <v>65.17902840849473</v>
      </c>
      <c r="F31" s="39">
        <f>SUM(F20:F30)</f>
        <v>31.137897238815903</v>
      </c>
    </row>
    <row r="32" spans="1:6" ht="15" customHeight="1">
      <c r="A32" s="42" t="s">
        <v>31</v>
      </c>
      <c r="B32" s="39">
        <f>B31-B28-B24</f>
        <v>42.983186460414487</v>
      </c>
      <c r="C32" s="39">
        <f>C31-C26</f>
        <v>-86.583524032180932</v>
      </c>
      <c r="D32" s="39">
        <f>D31-D28-D24</f>
        <v>50.181832709168198</v>
      </c>
      <c r="E32" s="39">
        <f>E31-E28-E24</f>
        <v>89.17902840849473</v>
      </c>
      <c r="F32" s="39">
        <f>F31-F28-F24</f>
        <v>55.137897238815903</v>
      </c>
    </row>
    <row r="33" spans="1:6" ht="15" customHeight="1">
      <c r="B33" s="33"/>
      <c r="C33" s="33"/>
      <c r="D33" s="33"/>
      <c r="E33" s="33"/>
      <c r="F33" s="33"/>
    </row>
    <row r="34" spans="1:6" ht="15" customHeight="1">
      <c r="A34" t="s">
        <v>32</v>
      </c>
      <c r="B34" s="30">
        <v>-81.8</v>
      </c>
      <c r="C34" s="30">
        <f>B35</f>
        <v>-84.616813539585507</v>
      </c>
      <c r="D34" s="30">
        <f>C35</f>
        <v>-175.30033757176642</v>
      </c>
      <c r="E34" s="30">
        <f>D35</f>
        <v>-149.11850486259823</v>
      </c>
      <c r="F34" s="30">
        <f>E35</f>
        <v>-83.939476454103499</v>
      </c>
    </row>
    <row r="35" spans="1:6" ht="15" customHeight="1">
      <c r="A35" t="s">
        <v>33</v>
      </c>
      <c r="B35" s="30">
        <f>B34+B31</f>
        <v>-84.616813539585507</v>
      </c>
      <c r="C35" s="30">
        <f>B35+C31</f>
        <v>-175.30033757176642</v>
      </c>
      <c r="D35" s="30">
        <f>D34+D31</f>
        <v>-149.11850486259823</v>
      </c>
      <c r="E35" s="30">
        <f>E34+E31</f>
        <v>-83.939476454103499</v>
      </c>
      <c r="F35" s="30">
        <f>F34+F31</f>
        <v>-52.801579215287596</v>
      </c>
    </row>
    <row r="36" spans="1:6" ht="15" customHeight="1">
      <c r="A36" s="38" t="s">
        <v>34</v>
      </c>
      <c r="B36" s="43">
        <f>-B35/(B20-B15)</f>
        <v>0.89877133738245663</v>
      </c>
      <c r="C36" s="43">
        <f>C35/C20</f>
        <v>17.884022239886182</v>
      </c>
      <c r="D36" s="43">
        <f>-D35/(D20-D15)</f>
        <v>1.3338359408473535</v>
      </c>
      <c r="E36" s="43">
        <f>-E35/(E20-E15)</f>
        <v>0.67478207527061929</v>
      </c>
      <c r="F36" s="43">
        <f>-F35/(F20-F15)</f>
        <v>0.41390886173757008</v>
      </c>
    </row>
    <row r="37" spans="1:6" ht="15" customHeight="1">
      <c r="B37" s="33"/>
      <c r="C37" s="33"/>
      <c r="D37" s="33"/>
      <c r="E37" s="33"/>
      <c r="F37" s="33"/>
    </row>
    <row r="38" spans="1:6" ht="15" customHeight="1">
      <c r="A38" s="317" t="s">
        <v>35</v>
      </c>
      <c r="B38" s="30"/>
      <c r="C38" s="30"/>
      <c r="D38" s="30"/>
      <c r="E38" s="30"/>
      <c r="F38" s="30"/>
    </row>
    <row r="39" spans="1:6" ht="15" customHeight="1">
      <c r="B39" s="30"/>
      <c r="C39" s="30"/>
      <c r="D39" s="30"/>
      <c r="E39" s="30"/>
      <c r="F39" s="30"/>
    </row>
    <row r="40" spans="1:6" ht="15" customHeight="1">
      <c r="B40" s="30"/>
      <c r="C40" s="30"/>
      <c r="D40" s="30"/>
      <c r="E40" s="30"/>
      <c r="F40" s="30"/>
    </row>
    <row r="41" spans="1:6" ht="15" customHeight="1">
      <c r="B41" s="30"/>
      <c r="C41" s="30"/>
      <c r="D41" s="30"/>
      <c r="E41" s="30"/>
      <c r="F41" s="30"/>
    </row>
    <row r="42" spans="1:6" ht="15" customHeight="1">
      <c r="B42" s="30"/>
      <c r="C42" s="30"/>
      <c r="D42" s="30"/>
      <c r="E42" s="30"/>
      <c r="F42" s="30"/>
    </row>
    <row r="43" spans="1:6" ht="15" customHeight="1">
      <c r="B43" s="30"/>
      <c r="C43" s="30"/>
      <c r="D43" s="30"/>
      <c r="E43" s="30"/>
      <c r="F43" s="30"/>
    </row>
    <row r="44" spans="1:6" ht="15" customHeight="1">
      <c r="B44" s="30"/>
      <c r="C44" s="30"/>
      <c r="D44" s="30"/>
      <c r="E44" s="30"/>
      <c r="F44" s="30"/>
    </row>
    <row r="45" spans="1:6" ht="15" customHeight="1">
      <c r="B45" s="30"/>
      <c r="C45" s="30"/>
      <c r="D45" s="30"/>
      <c r="E45" s="30"/>
      <c r="F45" s="30"/>
    </row>
    <row r="46" spans="1:6" ht="15" customHeight="1">
      <c r="B46" s="30"/>
      <c r="C46" s="30"/>
      <c r="D46" s="30"/>
      <c r="E46" s="30"/>
      <c r="F46" s="30"/>
    </row>
    <row r="47" spans="1:6" ht="15" customHeight="1">
      <c r="B47" s="30"/>
      <c r="C47" s="30"/>
      <c r="D47" s="30"/>
      <c r="E47" s="30"/>
      <c r="F47" s="30"/>
    </row>
    <row r="48" spans="1:6" ht="15" customHeight="1">
      <c r="B48" s="30"/>
      <c r="C48" s="30"/>
      <c r="D48" s="30"/>
      <c r="E48" s="30"/>
      <c r="F48" s="30"/>
    </row>
  </sheetData>
  <mergeCells count="1">
    <mergeCell ref="B3:F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B4E3"/>
  </sheetPr>
  <dimension ref="B2:X92"/>
  <sheetViews>
    <sheetView showGridLines="0" zoomScale="85" zoomScaleNormal="85" workbookViewId="0">
      <selection activeCell="I28" sqref="I28"/>
    </sheetView>
  </sheetViews>
  <sheetFormatPr defaultColWidth="9.109375" defaultRowHeight="13.2" outlineLevelRow="1"/>
  <cols>
    <col min="1" max="1" width="3" style="44" customWidth="1"/>
    <col min="2" max="2" width="2.88671875" style="44" customWidth="1"/>
    <col min="3" max="3" width="27.6640625" style="44" customWidth="1"/>
    <col min="4" max="5" width="3.44140625" style="44" customWidth="1"/>
    <col min="6" max="22" width="12.6640625" style="44" customWidth="1"/>
    <col min="23" max="23" width="3.44140625" style="44" customWidth="1"/>
    <col min="24" max="24" width="9.109375" style="44" customWidth="1"/>
    <col min="25" max="16384" width="9.109375" style="44"/>
  </cols>
  <sheetData>
    <row r="2" spans="2:22" ht="12" customHeight="1">
      <c r="B2" s="22"/>
      <c r="E2" s="45"/>
      <c r="O2" s="46"/>
      <c r="R2" s="47"/>
    </row>
    <row r="3" spans="2:22" ht="12" customHeight="1">
      <c r="B3" s="22"/>
      <c r="E3" s="45"/>
      <c r="O3" s="46"/>
      <c r="R3" s="47"/>
    </row>
    <row r="4" spans="2:22" ht="4.5" customHeight="1">
      <c r="B4" s="16"/>
      <c r="C4" s="48"/>
      <c r="D4" s="48"/>
      <c r="E4" s="49"/>
      <c r="F4" s="50"/>
      <c r="G4" s="50"/>
      <c r="H4" s="50"/>
      <c r="I4" s="50"/>
      <c r="J4" s="50"/>
      <c r="K4" s="50"/>
      <c r="L4" s="16"/>
      <c r="M4" s="16"/>
      <c r="N4" s="51"/>
      <c r="O4" s="16"/>
      <c r="P4" s="16"/>
      <c r="Q4" s="16"/>
      <c r="R4" s="16"/>
      <c r="S4" s="16"/>
      <c r="T4" s="16"/>
      <c r="U4" s="16"/>
      <c r="V4" s="16"/>
    </row>
    <row r="5" spans="2:22" ht="12.75" customHeight="1">
      <c r="B5" s="16"/>
      <c r="C5" s="52" t="s">
        <v>56</v>
      </c>
      <c r="D5" s="53"/>
      <c r="E5" s="54"/>
      <c r="F5" s="55"/>
      <c r="G5" s="55"/>
      <c r="H5" s="55"/>
      <c r="I5" s="55"/>
      <c r="J5" s="55"/>
      <c r="K5" s="55"/>
      <c r="L5" s="56"/>
      <c r="M5" s="56"/>
      <c r="N5" s="57"/>
      <c r="O5" s="56"/>
      <c r="P5" s="56"/>
      <c r="Q5" s="56"/>
      <c r="R5" s="56"/>
      <c r="S5" s="56"/>
      <c r="T5" s="56"/>
      <c r="U5" s="56"/>
      <c r="V5" s="58"/>
    </row>
    <row r="6" spans="2:22" ht="4.5" customHeight="1">
      <c r="B6" s="16"/>
      <c r="C6" s="16"/>
      <c r="D6" s="16"/>
      <c r="E6" s="20"/>
      <c r="F6" s="16"/>
      <c r="G6" s="16"/>
      <c r="H6" s="16"/>
      <c r="I6" s="16"/>
      <c r="J6" s="16"/>
      <c r="K6" s="16"/>
      <c r="L6" s="16"/>
      <c r="M6" s="16"/>
      <c r="N6" s="51"/>
      <c r="O6" s="16"/>
      <c r="P6" s="16"/>
      <c r="Q6" s="16"/>
      <c r="R6" s="16"/>
      <c r="S6" s="16"/>
    </row>
    <row r="7" spans="2:22" ht="12.75" customHeight="1">
      <c r="B7" s="16"/>
      <c r="D7" s="19"/>
      <c r="F7" s="327" t="s">
        <v>57</v>
      </c>
      <c r="G7" s="326"/>
      <c r="H7" s="326"/>
      <c r="I7" s="326"/>
      <c r="J7" s="326"/>
      <c r="K7" s="326"/>
      <c r="L7" s="325" t="s">
        <v>58</v>
      </c>
      <c r="M7" s="326"/>
      <c r="N7" s="326"/>
      <c r="O7" s="326"/>
      <c r="P7" s="326"/>
      <c r="Q7" s="328" t="s">
        <v>59</v>
      </c>
      <c r="R7" s="326"/>
      <c r="S7" s="326"/>
      <c r="T7" s="326"/>
      <c r="U7" s="326"/>
      <c r="V7" s="326"/>
    </row>
    <row r="8" spans="2:22" ht="12.75" customHeight="1">
      <c r="B8" s="16"/>
      <c r="D8" s="16"/>
      <c r="E8" s="20"/>
      <c r="F8" s="16"/>
      <c r="G8" s="16"/>
      <c r="H8" s="16"/>
      <c r="I8" s="16"/>
      <c r="J8" s="16"/>
      <c r="K8" s="16"/>
      <c r="L8" s="16"/>
      <c r="M8" s="59"/>
      <c r="N8" s="51"/>
      <c r="O8" s="16"/>
      <c r="P8" s="16"/>
      <c r="Q8" s="16"/>
      <c r="R8" s="16"/>
      <c r="S8" s="16"/>
    </row>
    <row r="9" spans="2:22" ht="12.75" customHeight="1">
      <c r="B9" s="16"/>
      <c r="C9" s="60" t="str">
        <f>TEXT(Assumptions!$D$11,"mmmm")&amp;" YE ($mm)"</f>
        <v>March YE ($mm)</v>
      </c>
      <c r="D9" s="60"/>
      <c r="E9" s="61"/>
      <c r="F9" s="62">
        <v>41729</v>
      </c>
      <c r="G9" s="62">
        <f t="shared" ref="G9:V9" si="0">+EDATE(F9,12)</f>
        <v>42094</v>
      </c>
      <c r="H9" s="62">
        <f t="shared" si="0"/>
        <v>42460</v>
      </c>
      <c r="I9" s="62">
        <f t="shared" si="0"/>
        <v>42825</v>
      </c>
      <c r="J9" s="62">
        <f t="shared" si="0"/>
        <v>43190</v>
      </c>
      <c r="K9" s="62">
        <f t="shared" si="0"/>
        <v>43555</v>
      </c>
      <c r="L9" s="63">
        <f t="shared" si="0"/>
        <v>43921</v>
      </c>
      <c r="M9" s="63">
        <f t="shared" si="0"/>
        <v>44286</v>
      </c>
      <c r="N9" s="63">
        <f t="shared" si="0"/>
        <v>44651</v>
      </c>
      <c r="O9" s="63">
        <f t="shared" si="0"/>
        <v>45016</v>
      </c>
      <c r="P9" s="63">
        <f t="shared" si="0"/>
        <v>45382</v>
      </c>
      <c r="Q9" s="63">
        <f t="shared" si="0"/>
        <v>45747</v>
      </c>
      <c r="R9" s="63">
        <f t="shared" si="0"/>
        <v>46112</v>
      </c>
      <c r="S9" s="63">
        <f t="shared" si="0"/>
        <v>46477</v>
      </c>
      <c r="T9" s="63">
        <f t="shared" si="0"/>
        <v>46843</v>
      </c>
      <c r="U9" s="63">
        <f t="shared" si="0"/>
        <v>47208</v>
      </c>
      <c r="V9" s="63">
        <f t="shared" si="0"/>
        <v>47573</v>
      </c>
    </row>
    <row r="10" spans="2:22" ht="12.75" customHeight="1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59"/>
      <c r="Q10" s="16"/>
      <c r="R10" s="16"/>
      <c r="S10" s="16"/>
      <c r="U10" s="16"/>
      <c r="V10" s="16"/>
    </row>
    <row r="11" spans="2:22" ht="12.75" customHeight="1">
      <c r="B11" s="16"/>
      <c r="C11" s="64" t="s">
        <v>60</v>
      </c>
      <c r="D11" s="64"/>
      <c r="E11" s="64"/>
      <c r="F11" s="65">
        <v>939.7</v>
      </c>
      <c r="G11" s="65">
        <v>1004.9</v>
      </c>
      <c r="H11" s="65">
        <v>1021.5</v>
      </c>
      <c r="I11" s="65">
        <v>1095</v>
      </c>
      <c r="J11" s="65">
        <v>1135.0999999999999</v>
      </c>
      <c r="K11" s="65">
        <v>1138.5999999999999</v>
      </c>
      <c r="L11" s="66">
        <f t="shared" ref="L11:V11" si="1">K11*(1+L13)</f>
        <v>1149.23121421216</v>
      </c>
      <c r="M11" s="66">
        <f t="shared" si="1"/>
        <v>1100</v>
      </c>
      <c r="N11" s="66">
        <f t="shared" si="1"/>
        <v>1353.8373857301599</v>
      </c>
      <c r="O11" s="66">
        <f t="shared" si="1"/>
        <v>1446.9754795854401</v>
      </c>
      <c r="P11" s="66">
        <f t="shared" si="1"/>
        <v>1442.6203434362001</v>
      </c>
      <c r="Q11" s="66">
        <f t="shared" si="1"/>
        <v>1471.4727503049241</v>
      </c>
      <c r="R11" s="66">
        <f t="shared" ca="1" si="1"/>
        <v>1497.9592609342935</v>
      </c>
      <c r="S11" s="66">
        <f t="shared" ca="1" si="1"/>
        <v>1521.9266106069026</v>
      </c>
      <c r="T11" s="66">
        <f t="shared" ca="1" si="1"/>
        <v>1543.2335843864182</v>
      </c>
      <c r="U11" s="66">
        <f t="shared" ca="1" si="1"/>
        <v>1561.7523880231818</v>
      </c>
      <c r="V11" s="66">
        <f t="shared" ca="1" si="1"/>
        <v>1577.3699119034136</v>
      </c>
    </row>
    <row r="12" spans="2:22" ht="12.75" customHeight="1" outlineLevel="1">
      <c r="B12" s="16"/>
      <c r="C12" s="67" t="s">
        <v>61</v>
      </c>
      <c r="D12" s="67"/>
      <c r="E12" s="67"/>
      <c r="F12" s="50"/>
      <c r="G12" s="50"/>
      <c r="H12" s="50"/>
      <c r="I12" s="50"/>
      <c r="J12" s="50"/>
      <c r="K12" s="50"/>
      <c r="L12" s="68">
        <f>+'Company fin forecasts'!B5</f>
        <v>1149.23121421216</v>
      </c>
      <c r="M12" s="68">
        <f>+'Company fin forecasts'!C5</f>
        <v>1100</v>
      </c>
      <c r="N12" s="68">
        <f>+'Company fin forecasts'!D5</f>
        <v>1353.8373857301599</v>
      </c>
      <c r="O12" s="68">
        <f>+'Company fin forecasts'!E5</f>
        <v>1446.9754795854401</v>
      </c>
      <c r="P12" s="68">
        <f>+'Company fin forecasts'!F5</f>
        <v>1442.6203434362001</v>
      </c>
      <c r="Q12" s="16"/>
      <c r="R12" s="16"/>
      <c r="S12" s="16"/>
      <c r="T12" s="16"/>
      <c r="U12" s="16"/>
      <c r="V12" s="16"/>
    </row>
    <row r="13" spans="2:22" ht="12.75" customHeight="1">
      <c r="B13" s="69"/>
      <c r="C13" s="69" t="s">
        <v>62</v>
      </c>
      <c r="D13" s="69"/>
      <c r="E13" s="70"/>
      <c r="L13" s="71">
        <f>IF(ISERROR(L12/K11-1),"n.a.",L12/K11-1)</f>
        <v>9.337093107465444E-3</v>
      </c>
      <c r="M13" s="71">
        <f>IF(ISERROR(M12/L12-1),"n.a.",M12/L12-1)</f>
        <v>-4.2838389353973327E-2</v>
      </c>
      <c r="N13" s="71">
        <f>IF(ISERROR(N12/M12-1),"n.a.",N12/M12-1)</f>
        <v>0.23076125975469086</v>
      </c>
      <c r="O13" s="71">
        <f>IF(ISERROR(O12/N12-1),"n.a.",O12/N12-1)</f>
        <v>6.8795628512687612E-2</v>
      </c>
      <c r="P13" s="71">
        <f>IF(ISERROR(P12/O12-1),"n.a.",P12/O12-1)</f>
        <v>-3.0098202842302468E-3</v>
      </c>
      <c r="Q13" s="72">
        <v>0.02</v>
      </c>
      <c r="R13" s="73">
        <f ca="1">+AVERAGE(Q13,S13)</f>
        <v>1.8000000499900227E-2</v>
      </c>
      <c r="S13" s="73">
        <f ca="1">+AVERAGE(R13,T13)</f>
        <v>1.6000000654377892E-2</v>
      </c>
      <c r="T13" s="73">
        <f ca="1">+AVERAGE(S13,U13)</f>
        <v>1.4000000529402836E-2</v>
      </c>
      <c r="U13" s="73">
        <f ca="1">+AVERAGE(T13,V13)</f>
        <v>1.2000000264701417E-2</v>
      </c>
      <c r="V13" s="72">
        <v>0.01</v>
      </c>
    </row>
    <row r="14" spans="2:22" ht="12.75" customHeight="1">
      <c r="B14" s="69"/>
      <c r="C14" s="69"/>
      <c r="D14" s="69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</row>
    <row r="15" spans="2:22" ht="12.75" customHeight="1">
      <c r="B15" s="16"/>
      <c r="C15" s="64" t="s">
        <v>63</v>
      </c>
      <c r="D15" s="64"/>
      <c r="E15" s="64"/>
      <c r="F15" s="65">
        <v>101.1</v>
      </c>
      <c r="G15" s="65">
        <v>109.9</v>
      </c>
      <c r="H15" s="65">
        <v>114.6</v>
      </c>
      <c r="I15" s="65">
        <v>108.7</v>
      </c>
      <c r="J15" s="65">
        <v>109.5</v>
      </c>
      <c r="K15" s="65">
        <v>98.2</v>
      </c>
      <c r="L15" s="66">
        <f t="shared" ref="L15:V15" si="2">L11*L18</f>
        <v>94.147209662938195</v>
      </c>
      <c r="M15" s="66">
        <f t="shared" si="2"/>
        <v>8.2024042733810774</v>
      </c>
      <c r="N15" s="66">
        <f t="shared" si="2"/>
        <v>111.79673623719187</v>
      </c>
      <c r="O15" s="66">
        <f t="shared" si="2"/>
        <v>124.39494101920214</v>
      </c>
      <c r="P15" s="66">
        <f t="shared" si="2"/>
        <v>127.56812935492377</v>
      </c>
      <c r="Q15" s="66">
        <f t="shared" ca="1" si="2"/>
        <v>130.50497670037939</v>
      </c>
      <c r="R15" s="66">
        <f t="shared" ca="1" si="2"/>
        <v>133.24650233845801</v>
      </c>
      <c r="S15" s="66">
        <f t="shared" ca="1" si="2"/>
        <v>135.77717411567374</v>
      </c>
      <c r="T15" s="66">
        <f t="shared" ca="1" si="2"/>
        <v>138.08237409438118</v>
      </c>
      <c r="U15" s="66">
        <f t="shared" ca="1" si="2"/>
        <v>140.14853878072222</v>
      </c>
      <c r="V15" s="66">
        <f t="shared" ca="1" si="2"/>
        <v>141.96329207130722</v>
      </c>
    </row>
    <row r="16" spans="2:22" ht="12.75" customHeight="1" outlineLevel="1">
      <c r="B16" s="16"/>
      <c r="C16" s="67" t="str">
        <f>+$C$12</f>
        <v>Management case</v>
      </c>
      <c r="D16" s="67"/>
      <c r="E16" s="67"/>
      <c r="F16" s="16"/>
      <c r="G16" s="16"/>
      <c r="H16" s="16"/>
      <c r="I16" s="16"/>
      <c r="J16" s="16"/>
      <c r="K16" s="16"/>
      <c r="L16" s="68">
        <f>+('Company fin forecasts'!B20-'Company fin forecasts'!B15)</f>
        <v>94.147209662938195</v>
      </c>
      <c r="M16" s="68">
        <f>+('Company fin forecasts'!C20-'Company fin forecasts'!C15)</f>
        <v>8.2024042733810774</v>
      </c>
      <c r="N16" s="68">
        <f>+('Company fin forecasts'!D20-'Company fin forecasts'!D15)</f>
        <v>111.79673623719187</v>
      </c>
      <c r="O16" s="68">
        <f>+('Company fin forecasts'!E20-'Company fin forecasts'!E15)</f>
        <v>124.39494101920214</v>
      </c>
      <c r="P16" s="68">
        <f>+('Company fin forecasts'!F20-'Company fin forecasts'!F15)</f>
        <v>127.56812935492377</v>
      </c>
      <c r="Q16" s="16"/>
      <c r="R16" s="16"/>
      <c r="S16" s="16"/>
      <c r="T16" s="16"/>
      <c r="U16" s="16"/>
      <c r="V16" s="16"/>
    </row>
    <row r="17" spans="2:24" ht="12.75" customHeight="1">
      <c r="B17" s="16"/>
      <c r="C17" s="69" t="s">
        <v>64</v>
      </c>
      <c r="D17" s="69"/>
      <c r="E17" s="70"/>
      <c r="F17" s="71" t="str">
        <f t="shared" ref="F17:V17" si="3">IF(ISERROR(F15/E15-1),"n.a.",F15/E15-1)</f>
        <v>n.a.</v>
      </c>
      <c r="G17" s="70">
        <f t="shared" si="3"/>
        <v>8.7042532146389906E-2</v>
      </c>
      <c r="H17" s="70">
        <f t="shared" si="3"/>
        <v>4.2766151046405687E-2</v>
      </c>
      <c r="I17" s="70">
        <f t="shared" si="3"/>
        <v>-5.148342059336819E-2</v>
      </c>
      <c r="J17" s="70">
        <f t="shared" si="3"/>
        <v>7.3597056117755688E-3</v>
      </c>
      <c r="K17" s="70">
        <f t="shared" si="3"/>
        <v>-0.10319634703196345</v>
      </c>
      <c r="L17" s="70">
        <f t="shared" si="3"/>
        <v>-4.1270777363154876E-2</v>
      </c>
      <c r="M17" s="70">
        <f t="shared" si="3"/>
        <v>-0.91287682021860261</v>
      </c>
      <c r="N17" s="70">
        <f t="shared" si="3"/>
        <v>12.629752022830816</v>
      </c>
      <c r="O17" s="70">
        <f t="shared" si="3"/>
        <v>0.11268848453036662</v>
      </c>
      <c r="P17" s="70">
        <f t="shared" si="3"/>
        <v>2.5508982195922236E-2</v>
      </c>
      <c r="Q17" s="70">
        <f t="shared" ca="1" si="3"/>
        <v>2.3021795179614557E-2</v>
      </c>
      <c r="R17" s="70">
        <f t="shared" ca="1" si="3"/>
        <v>2.1007058178116544E-2</v>
      </c>
      <c r="S17" s="70">
        <f t="shared" ca="1" si="3"/>
        <v>1.8992406800949935E-2</v>
      </c>
      <c r="T17" s="70">
        <f t="shared" ca="1" si="3"/>
        <v>1.6977816733345419E-2</v>
      </c>
      <c r="U17" s="70">
        <f t="shared" ca="1" si="3"/>
        <v>1.4963276087133215E-2</v>
      </c>
      <c r="V17" s="70">
        <f t="shared" ca="1" si="3"/>
        <v>1.2948784956112736E-2</v>
      </c>
    </row>
    <row r="18" spans="2:24" ht="12.75" customHeight="1">
      <c r="B18" s="16"/>
      <c r="C18" s="69" t="s">
        <v>65</v>
      </c>
      <c r="D18" s="69"/>
      <c r="E18" s="70"/>
      <c r="L18" s="71">
        <f>IF(ISERROR(L16/L$12),"n.a.",L16/L$12)</f>
        <v>8.1921904398915543E-2</v>
      </c>
      <c r="M18" s="71">
        <f>IF(ISERROR(M16/M$12),"n.a.",M16/M$12)</f>
        <v>7.4567311576191611E-3</v>
      </c>
      <c r="N18" s="71">
        <f>IF(ISERROR(N16/N$12),"n.a.",N16/N$12)</f>
        <v>8.2577669530744247E-2</v>
      </c>
      <c r="O18" s="71">
        <f>IF(ISERROR(O16/O$12),"n.a.",O16/O$12)</f>
        <v>8.5968935047082765E-2</v>
      </c>
      <c r="P18" s="74">
        <f>IF(ISERROR(P16/P$12),"n.a.",P16/P$12)</f>
        <v>8.8428067672376806E-2</v>
      </c>
      <c r="Q18" s="75">
        <f ca="1">+AVERAGE(P18,R18)</f>
        <v>8.8690043903161347E-2</v>
      </c>
      <c r="R18" s="75">
        <f ca="1">+AVERAGE(Q18,S18)</f>
        <v>8.8952026379188892E-2</v>
      </c>
      <c r="S18" s="75">
        <f ca="1">+AVERAGE(R18,T18)</f>
        <v>8.9214015100459426E-2</v>
      </c>
      <c r="T18" s="75">
        <f ca="1">+AVERAGE(S18,U18)</f>
        <v>8.9476008505662202E-2</v>
      </c>
      <c r="U18" s="75">
        <f ca="1">+AVERAGE(T18,V18)</f>
        <v>8.9738004252831099E-2</v>
      </c>
      <c r="V18" s="72">
        <v>0.09</v>
      </c>
    </row>
    <row r="19" spans="2:24" ht="12.75" customHeight="1">
      <c r="B19" s="69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2:24" ht="12.75" customHeight="1">
      <c r="B20" s="69"/>
      <c r="C20" s="64" t="s">
        <v>66</v>
      </c>
      <c r="D20" s="64"/>
      <c r="E20" s="64"/>
      <c r="F20" s="64">
        <f t="shared" ref="F20:K20" si="4">-F15+F25</f>
        <v>-23.299999999999997</v>
      </c>
      <c r="G20" s="64">
        <f t="shared" si="4"/>
        <v>-25.300000000000011</v>
      </c>
      <c r="H20" s="64">
        <f t="shared" si="4"/>
        <v>-30.099999999999994</v>
      </c>
      <c r="I20" s="64">
        <f t="shared" si="4"/>
        <v>-31.600000000000009</v>
      </c>
      <c r="J20" s="64">
        <f t="shared" si="4"/>
        <v>-34.900000000000006</v>
      </c>
      <c r="K20" s="64">
        <f t="shared" si="4"/>
        <v>-36</v>
      </c>
      <c r="L20" s="76">
        <f>+(('Company fin forecasts'!B18+'Company fin forecasts'!B19))*-1</f>
        <v>-36.1292154</v>
      </c>
      <c r="M20" s="76">
        <f>+(('Company fin forecasts'!C18+'Company fin forecasts'!C19))*-1</f>
        <v>-40.45529352334907</v>
      </c>
      <c r="N20" s="76">
        <f>+(('Company fin forecasts'!D18+'Company fin forecasts'!D19))*-1</f>
        <v>-47.195257615808771</v>
      </c>
      <c r="O20" s="76">
        <f>+(('Company fin forecasts'!E18+'Company fin forecasts'!E19))*-1</f>
        <v>-51.829543587564167</v>
      </c>
      <c r="P20" s="76">
        <f>+(('Company fin forecasts'!F18+'Company fin forecasts'!F19))*-1</f>
        <v>-54.799912142159165</v>
      </c>
      <c r="Q20" s="66">
        <f t="shared" ref="Q20:V20" ca="1" si="5">Q22*Q40</f>
        <v>-53.583337458055126</v>
      </c>
      <c r="R20" s="66">
        <f t="shared" ca="1" si="5"/>
        <v>-52.366724104156503</v>
      </c>
      <c r="S20" s="66">
        <f t="shared" ca="1" si="5"/>
        <v>-51.150072080463303</v>
      </c>
      <c r="T20" s="66">
        <f t="shared" ca="1" si="5"/>
        <v>-49.933391054424177</v>
      </c>
      <c r="U20" s="66">
        <f t="shared" ca="1" si="5"/>
        <v>-48.716695527212089</v>
      </c>
      <c r="V20" s="66">
        <f t="shared" si="5"/>
        <v>-47.5</v>
      </c>
    </row>
    <row r="21" spans="2:24" ht="12.75" customHeight="1">
      <c r="B21" s="69"/>
      <c r="C21" s="69" t="s">
        <v>64</v>
      </c>
      <c r="D21" s="69"/>
      <c r="E21" s="70"/>
      <c r="F21" s="70" t="str">
        <f t="shared" ref="F21:V21" si="6">IF(ISERROR(F20/E20-1),"n.a.",F20/E20-1)</f>
        <v>n.a.</v>
      </c>
      <c r="G21" s="70">
        <f t="shared" si="6"/>
        <v>8.5836909871245259E-2</v>
      </c>
      <c r="H21" s="70">
        <f t="shared" si="6"/>
        <v>0.18972332015810212</v>
      </c>
      <c r="I21" s="70">
        <f t="shared" si="6"/>
        <v>4.9833887043189806E-2</v>
      </c>
      <c r="J21" s="70">
        <f t="shared" si="6"/>
        <v>0.10443037974683533</v>
      </c>
      <c r="K21" s="70">
        <f t="shared" si="6"/>
        <v>3.1518624641833748E-2</v>
      </c>
      <c r="L21" s="70">
        <f t="shared" si="6"/>
        <v>3.5893166666667309E-3</v>
      </c>
      <c r="M21" s="70">
        <f t="shared" si="6"/>
        <v>0.11973905537259655</v>
      </c>
      <c r="N21" s="70">
        <f t="shared" si="6"/>
        <v>0.1666027732210047</v>
      </c>
      <c r="O21" s="70">
        <f t="shared" si="6"/>
        <v>9.8193890782006799E-2</v>
      </c>
      <c r="P21" s="70">
        <f t="shared" si="6"/>
        <v>5.7310335939514179E-2</v>
      </c>
      <c r="Q21" s="70">
        <f t="shared" ca="1" si="6"/>
        <v>-2.2200303550634626E-2</v>
      </c>
      <c r="R21" s="70">
        <f t="shared" ca="1" si="6"/>
        <v>-2.2705068620464064E-2</v>
      </c>
      <c r="S21" s="70">
        <f t="shared" ca="1" si="6"/>
        <v>-2.3233304059144477E-2</v>
      </c>
      <c r="T21" s="70">
        <f t="shared" ca="1" si="6"/>
        <v>-2.378649680346856E-2</v>
      </c>
      <c r="U21" s="70">
        <f t="shared" ca="1" si="6"/>
        <v>-2.4366370909717938E-2</v>
      </c>
      <c r="V21" s="70">
        <f t="shared" ca="1" si="6"/>
        <v>-2.4974919050748556E-2</v>
      </c>
    </row>
    <row r="22" spans="2:24" ht="12.75" customHeight="1">
      <c r="B22" s="69"/>
      <c r="C22" s="69" t="s">
        <v>67</v>
      </c>
      <c r="D22" s="69"/>
      <c r="E22" s="70"/>
      <c r="F22" s="71">
        <f t="shared" ref="F22:P22" si="7">IF(ISERROR(F20/F$40),"n.a.",F20/F$40)</f>
        <v>0.76644736842105254</v>
      </c>
      <c r="G22" s="71">
        <f t="shared" si="7"/>
        <v>0.67466666666666697</v>
      </c>
      <c r="H22" s="71">
        <f t="shared" si="7"/>
        <v>0.74689826302729523</v>
      </c>
      <c r="I22" s="71">
        <f t="shared" si="7"/>
        <v>0.87534626038781183</v>
      </c>
      <c r="J22" s="71">
        <f t="shared" si="7"/>
        <v>0.93565683646112618</v>
      </c>
      <c r="K22" s="71">
        <f t="shared" si="7"/>
        <v>1.1612903225806452</v>
      </c>
      <c r="L22" s="71">
        <f t="shared" si="7"/>
        <v>1.0035893166666667</v>
      </c>
      <c r="M22" s="71">
        <f t="shared" si="7"/>
        <v>0.79324104947743279</v>
      </c>
      <c r="N22" s="71">
        <f t="shared" si="7"/>
        <v>0.94390515231617544</v>
      </c>
      <c r="O22" s="71">
        <f t="shared" si="7"/>
        <v>1.0365908717512833</v>
      </c>
      <c r="P22" s="71">
        <f t="shared" si="7"/>
        <v>1.0959982428431834</v>
      </c>
      <c r="Q22" s="73">
        <f ca="1">+AVERAGE(P22,R22)</f>
        <v>1.0716663624631568</v>
      </c>
      <c r="R22" s="73">
        <f ca="1">+AVERAGE(Q22,S22)</f>
        <v>1.0473339020362116</v>
      </c>
      <c r="S22" s="73">
        <f ca="1">+AVERAGE(R22,T22)</f>
        <v>1.0230008615623476</v>
      </c>
      <c r="T22" s="73">
        <f ca="1">+AVERAGE(S22,U22)</f>
        <v>0.99866738605329464</v>
      </c>
      <c r="U22" s="73">
        <f ca="1">+AVERAGE(T22,V22)</f>
        <v>0.9743336930266473</v>
      </c>
      <c r="V22" s="72">
        <v>0.95</v>
      </c>
      <c r="X22" s="59"/>
    </row>
    <row r="23" spans="2:24" ht="12.75" customHeight="1">
      <c r="B23" s="69"/>
      <c r="C23" s="69" t="s">
        <v>68</v>
      </c>
      <c r="D23" s="69"/>
      <c r="E23" s="70"/>
      <c r="F23" s="71">
        <f t="shared" ref="F23:V23" si="8">F20/F11*-1</f>
        <v>2.4795147387464082E-2</v>
      </c>
      <c r="G23" s="71">
        <f t="shared" si="8"/>
        <v>2.5176634490994141E-2</v>
      </c>
      <c r="H23" s="71">
        <f t="shared" si="8"/>
        <v>2.9466470876162502E-2</v>
      </c>
      <c r="I23" s="71">
        <f t="shared" si="8"/>
        <v>2.8858447488584484E-2</v>
      </c>
      <c r="J23" s="71">
        <f t="shared" si="8"/>
        <v>3.0746189763016483E-2</v>
      </c>
      <c r="K23" s="71">
        <f t="shared" si="8"/>
        <v>3.1617776216406115E-2</v>
      </c>
      <c r="L23" s="71">
        <f t="shared" si="8"/>
        <v>3.1437725457855663E-2</v>
      </c>
      <c r="M23" s="71">
        <f t="shared" si="8"/>
        <v>3.6777539566680971E-2</v>
      </c>
      <c r="N23" s="71">
        <f t="shared" si="8"/>
        <v>3.4860359237572046E-2</v>
      </c>
      <c r="O23" s="71">
        <f t="shared" si="8"/>
        <v>3.5819227290854565E-2</v>
      </c>
      <c r="P23" s="71">
        <f t="shared" si="8"/>
        <v>3.7986371391124568E-2</v>
      </c>
      <c r="Q23" s="71">
        <f t="shared" ca="1" si="8"/>
        <v>3.6414767073974959E-2</v>
      </c>
      <c r="R23" s="71">
        <f t="shared" ca="1" si="8"/>
        <v>3.4958710473537713E-2</v>
      </c>
      <c r="S23" s="71">
        <f t="shared" ca="1" si="8"/>
        <v>3.3608763868098773E-2</v>
      </c>
      <c r="T23" s="71">
        <f t="shared" ca="1" si="8"/>
        <v>3.2356340323086888E-2</v>
      </c>
      <c r="U23" s="71">
        <f t="shared" ca="1" si="8"/>
        <v>3.1193610396124439E-2</v>
      </c>
      <c r="V23" s="71">
        <f t="shared" ca="1" si="8"/>
        <v>3.0113418318396673E-2</v>
      </c>
    </row>
    <row r="24" spans="2:24" ht="12.75" customHeight="1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2:24" ht="12.75" customHeight="1">
      <c r="B25" s="16"/>
      <c r="C25" s="64" t="s">
        <v>69</v>
      </c>
      <c r="D25" s="64"/>
      <c r="E25" s="64"/>
      <c r="F25" s="65">
        <v>77.8</v>
      </c>
      <c r="G25" s="65">
        <v>84.6</v>
      </c>
      <c r="H25" s="65">
        <v>84.5</v>
      </c>
      <c r="I25" s="65">
        <v>77.099999999999994</v>
      </c>
      <c r="J25" s="65">
        <v>74.599999999999994</v>
      </c>
      <c r="K25" s="65">
        <v>62.2</v>
      </c>
      <c r="L25" s="66">
        <f>+L15+L20</f>
        <v>58.017994262938196</v>
      </c>
      <c r="M25" s="66">
        <f>+M15+M20</f>
        <v>-32.252889249967993</v>
      </c>
      <c r="N25" s="66">
        <f>+N15+N20</f>
        <v>64.601478621383094</v>
      </c>
      <c r="O25" s="66">
        <f>+O15+O20</f>
        <v>72.565397431637962</v>
      </c>
      <c r="P25" s="66">
        <f>+P15+P20</f>
        <v>72.768217212764597</v>
      </c>
      <c r="Q25" s="66">
        <f t="shared" ref="Q25:V25" ca="1" si="9">Q15+Q20</f>
        <v>76.921639242324261</v>
      </c>
      <c r="R25" s="66">
        <f t="shared" ca="1" si="9"/>
        <v>80.879778234301511</v>
      </c>
      <c r="S25" s="66">
        <f t="shared" ca="1" si="9"/>
        <v>84.627102035210441</v>
      </c>
      <c r="T25" s="66">
        <f t="shared" ca="1" si="9"/>
        <v>88.148983039957002</v>
      </c>
      <c r="U25" s="66">
        <f t="shared" ca="1" si="9"/>
        <v>91.431843253510124</v>
      </c>
      <c r="V25" s="66">
        <f t="shared" ca="1" si="9"/>
        <v>94.463292071307222</v>
      </c>
    </row>
    <row r="26" spans="2:24" ht="12.75" customHeight="1">
      <c r="B26" s="16"/>
      <c r="C26" s="69" t="s">
        <v>64</v>
      </c>
      <c r="D26" s="69"/>
      <c r="E26" s="70"/>
      <c r="F26" s="70" t="str">
        <f t="shared" ref="F26:V26" si="10">IF(ISERROR(F25/E25-1),"n.a.",F25/E25-1)</f>
        <v>n.a.</v>
      </c>
      <c r="G26" s="70">
        <f t="shared" si="10"/>
        <v>8.740359897172234E-2</v>
      </c>
      <c r="H26" s="70">
        <f t="shared" si="10"/>
        <v>-1.1820330969266601E-3</v>
      </c>
      <c r="I26" s="70">
        <f t="shared" si="10"/>
        <v>-8.7573964497041468E-2</v>
      </c>
      <c r="J26" s="70">
        <f t="shared" si="10"/>
        <v>-3.2425421530479892E-2</v>
      </c>
      <c r="K26" s="70">
        <f t="shared" si="10"/>
        <v>-0.16621983914209104</v>
      </c>
      <c r="L26" s="70">
        <f t="shared" si="10"/>
        <v>-6.7234818923823214E-2</v>
      </c>
      <c r="M26" s="70">
        <f t="shared" si="10"/>
        <v>-1.5559118280407547</v>
      </c>
      <c r="N26" s="70">
        <f t="shared" si="10"/>
        <v>-3.0029671797991617</v>
      </c>
      <c r="O26" s="70">
        <f t="shared" si="10"/>
        <v>0.12327765525197765</v>
      </c>
      <c r="P26" s="70">
        <f t="shared" si="10"/>
        <v>2.7949930449662208E-3</v>
      </c>
      <c r="Q26" s="70">
        <f t="shared" ca="1" si="10"/>
        <v>5.7077419080030722E-2</v>
      </c>
      <c r="R26" s="70">
        <f t="shared" ca="1" si="10"/>
        <v>5.1456768614980053E-2</v>
      </c>
      <c r="S26" s="70">
        <f t="shared" ca="1" si="10"/>
        <v>4.6332023686480373E-2</v>
      </c>
      <c r="T26" s="70">
        <f t="shared" ca="1" si="10"/>
        <v>4.1616467066085017E-2</v>
      </c>
      <c r="U26" s="70">
        <f t="shared" ca="1" si="10"/>
        <v>3.7242179096553363E-2</v>
      </c>
      <c r="V26" s="70">
        <f t="shared" ca="1" si="10"/>
        <v>3.3155284963378717E-2</v>
      </c>
    </row>
    <row r="27" spans="2:24" ht="12.75" customHeight="1">
      <c r="B27" s="16"/>
      <c r="C27" s="69" t="s">
        <v>68</v>
      </c>
      <c r="D27" s="69"/>
      <c r="E27" s="70"/>
      <c r="F27" s="70">
        <f t="shared" ref="F27:V27" si="11">IF(ISERROR(F25/F$11),"n.a.",F25/F$11)</f>
        <v>8.2792380546983069E-2</v>
      </c>
      <c r="G27" s="70">
        <f t="shared" si="11"/>
        <v>8.4187481341427006E-2</v>
      </c>
      <c r="H27" s="70">
        <f t="shared" si="11"/>
        <v>8.272148800783162E-2</v>
      </c>
      <c r="I27" s="70">
        <f t="shared" si="11"/>
        <v>7.0410958904109588E-2</v>
      </c>
      <c r="J27" s="70">
        <f t="shared" si="11"/>
        <v>6.5721081843009427E-2</v>
      </c>
      <c r="K27" s="70">
        <f t="shared" si="11"/>
        <v>5.4628491129457238E-2</v>
      </c>
      <c r="L27" s="70">
        <f t="shared" si="11"/>
        <v>5.0484178941059873E-2</v>
      </c>
      <c r="M27" s="70">
        <f t="shared" si="11"/>
        <v>-2.9320808409061812E-2</v>
      </c>
      <c r="N27" s="70">
        <f t="shared" si="11"/>
        <v>4.7717310293172194E-2</v>
      </c>
      <c r="O27" s="70">
        <f t="shared" si="11"/>
        <v>5.01497077562282E-2</v>
      </c>
      <c r="P27" s="70">
        <f t="shared" si="11"/>
        <v>5.0441696281252238E-2</v>
      </c>
      <c r="Q27" s="70">
        <f t="shared" ca="1" si="11"/>
        <v>5.2275272665691069E-2</v>
      </c>
      <c r="R27" s="70">
        <f t="shared" ca="1" si="11"/>
        <v>5.3993309660408197E-2</v>
      </c>
      <c r="S27" s="70">
        <f t="shared" ca="1" si="11"/>
        <v>5.5605244987117657E-2</v>
      </c>
      <c r="T27" s="70">
        <f t="shared" ca="1" si="11"/>
        <v>5.7119663498643072E-2</v>
      </c>
      <c r="U27" s="70">
        <f t="shared" ca="1" si="11"/>
        <v>5.8544391514740529E-2</v>
      </c>
      <c r="V27" s="70">
        <f t="shared" ca="1" si="11"/>
        <v>5.9886581681603324E-2</v>
      </c>
    </row>
    <row r="28" spans="2:24" ht="12.75" customHeight="1"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24" ht="12.75" customHeight="1">
      <c r="B29" s="16"/>
      <c r="C29" s="69" t="s">
        <v>70</v>
      </c>
      <c r="D29" s="69"/>
      <c r="E29" s="70"/>
      <c r="F29" s="77"/>
      <c r="G29" s="77"/>
      <c r="H29" s="77"/>
      <c r="I29" s="77"/>
      <c r="J29" s="77"/>
      <c r="K29" s="72">
        <v>0.19</v>
      </c>
      <c r="L29" s="72">
        <v>0.19</v>
      </c>
      <c r="M29" s="72">
        <v>0.17</v>
      </c>
      <c r="N29" s="73">
        <f t="shared" ref="N29:V29" si="12">M29</f>
        <v>0.17</v>
      </c>
      <c r="O29" s="73">
        <f t="shared" si="12"/>
        <v>0.17</v>
      </c>
      <c r="P29" s="73">
        <f t="shared" si="12"/>
        <v>0.17</v>
      </c>
      <c r="Q29" s="73">
        <f t="shared" si="12"/>
        <v>0.17</v>
      </c>
      <c r="R29" s="73">
        <f t="shared" si="12"/>
        <v>0.17</v>
      </c>
      <c r="S29" s="73">
        <f t="shared" si="12"/>
        <v>0.17</v>
      </c>
      <c r="T29" s="73">
        <f t="shared" si="12"/>
        <v>0.17</v>
      </c>
      <c r="U29" s="73">
        <f t="shared" si="12"/>
        <v>0.17</v>
      </c>
      <c r="V29" s="73">
        <f t="shared" si="12"/>
        <v>0.17</v>
      </c>
    </row>
    <row r="30" spans="2:24" ht="12.75" customHeight="1">
      <c r="B30" s="16"/>
      <c r="C30" s="69"/>
      <c r="D30" s="69"/>
      <c r="E30" s="70"/>
      <c r="F30" s="77"/>
      <c r="G30" s="77"/>
      <c r="H30" s="77"/>
      <c r="I30" s="77"/>
      <c r="J30" s="77"/>
      <c r="K30" s="78"/>
      <c r="L30" s="78"/>
      <c r="M30" s="78"/>
      <c r="N30" s="79"/>
      <c r="O30" s="79"/>
      <c r="P30" s="79"/>
      <c r="Q30" s="79"/>
      <c r="R30" s="79"/>
      <c r="S30" s="79"/>
      <c r="T30" s="79"/>
      <c r="U30" s="79"/>
      <c r="V30" s="79"/>
    </row>
    <row r="31" spans="2:24" ht="12.75" customHeight="1">
      <c r="B31" s="16" t="s">
        <v>71</v>
      </c>
      <c r="C31" s="64" t="s">
        <v>72</v>
      </c>
      <c r="D31" s="64"/>
      <c r="E31" s="64"/>
      <c r="F31" s="65">
        <v>55.5</v>
      </c>
      <c r="G31" s="65">
        <v>65.8</v>
      </c>
      <c r="H31" s="65">
        <v>64.900000000000006</v>
      </c>
      <c r="I31" s="65">
        <v>59.5</v>
      </c>
      <c r="J31" s="65">
        <v>58.4</v>
      </c>
      <c r="K31" s="65">
        <v>48.3</v>
      </c>
      <c r="L31" s="76">
        <f>+('Company fin forecasts'!B13+'Company fin forecasts'!I13)*(1-L29)</f>
        <v>44.483575352979933</v>
      </c>
      <c r="M31" s="76">
        <f>+('Company fin forecasts'!C13+'Company fin forecasts'!J13)*(1-M29)</f>
        <v>-30.172898077473441</v>
      </c>
      <c r="N31" s="76">
        <f>+('Company fin forecasts'!D13+'Company fin forecasts'!K13)*(1-N29)</f>
        <v>50.21622725574796</v>
      </c>
      <c r="O31" s="76">
        <f>+('Company fin forecasts'!E13+'Company fin forecasts'!L13)*(1-O29)</f>
        <v>56.826279868259512</v>
      </c>
      <c r="P31" s="76">
        <f>+('Company fin forecasts'!F13+'Company fin forecasts'!M13)*(1-P29)</f>
        <v>56.994620286594618</v>
      </c>
      <c r="Q31" s="16"/>
      <c r="R31" s="16"/>
      <c r="S31" s="16"/>
      <c r="T31" s="16"/>
      <c r="U31" s="16"/>
      <c r="V31" s="16"/>
    </row>
    <row r="32" spans="2:24" ht="12.75" customHeight="1">
      <c r="B32" s="16"/>
      <c r="C32" s="69" t="s">
        <v>64</v>
      </c>
      <c r="D32" s="69"/>
      <c r="E32" s="70"/>
      <c r="F32" s="70" t="str">
        <f t="shared" ref="F32:P32" si="13">IF(ISERROR(F31/E31-1),"n.a.",F31/E31-1)</f>
        <v>n.a.</v>
      </c>
      <c r="G32" s="70">
        <f t="shared" si="13"/>
        <v>0.18558558558558547</v>
      </c>
      <c r="H32" s="70">
        <f t="shared" si="13"/>
        <v>-1.3677811550151797E-2</v>
      </c>
      <c r="I32" s="70">
        <f t="shared" si="13"/>
        <v>-8.3204930662557852E-2</v>
      </c>
      <c r="J32" s="70">
        <f t="shared" si="13"/>
        <v>-1.8487394957983239E-2</v>
      </c>
      <c r="K32" s="70">
        <f t="shared" si="13"/>
        <v>-0.17294520547945214</v>
      </c>
      <c r="L32" s="70">
        <f t="shared" si="13"/>
        <v>-7.9015003043893639E-2</v>
      </c>
      <c r="M32" s="70">
        <f t="shared" si="13"/>
        <v>-1.6782930067569799</v>
      </c>
      <c r="N32" s="70">
        <f t="shared" si="13"/>
        <v>-2.6642825335110425</v>
      </c>
      <c r="O32" s="70">
        <f t="shared" si="13"/>
        <v>0.13163180457279244</v>
      </c>
      <c r="P32" s="70">
        <f t="shared" si="13"/>
        <v>2.962369149016375E-3</v>
      </c>
      <c r="Q32" s="80"/>
      <c r="R32" s="80"/>
      <c r="S32" s="80"/>
      <c r="T32" s="16"/>
      <c r="U32" s="16"/>
      <c r="V32" s="16"/>
    </row>
    <row r="33" spans="2:23" ht="12.75" customHeight="1">
      <c r="B33" s="16"/>
      <c r="C33" s="69" t="s">
        <v>68</v>
      </c>
      <c r="D33" s="69"/>
      <c r="E33" s="70"/>
      <c r="F33" s="70">
        <f t="shared" ref="F33:P33" si="14">IF(ISERROR(F31/F$11),"n.a.",F31/F$11)</f>
        <v>5.9061402575289981E-2</v>
      </c>
      <c r="G33" s="70">
        <f t="shared" si="14"/>
        <v>6.5479152154443221E-2</v>
      </c>
      <c r="H33" s="70">
        <f t="shared" si="14"/>
        <v>6.35340186000979E-2</v>
      </c>
      <c r="I33" s="70">
        <f t="shared" si="14"/>
        <v>5.4337899543378997E-2</v>
      </c>
      <c r="J33" s="70">
        <f t="shared" si="14"/>
        <v>5.1449211523213814E-2</v>
      </c>
      <c r="K33" s="70">
        <f t="shared" si="14"/>
        <v>4.2420516423678202E-2</v>
      </c>
      <c r="L33" s="70">
        <f t="shared" si="14"/>
        <v>3.8707246029229245E-2</v>
      </c>
      <c r="M33" s="70">
        <f t="shared" si="14"/>
        <v>-2.7429907343157672E-2</v>
      </c>
      <c r="N33" s="70">
        <f t="shared" si="14"/>
        <v>3.709177171870242E-2</v>
      </c>
      <c r="O33" s="70">
        <f t="shared" si="14"/>
        <v>3.9272455317999097E-2</v>
      </c>
      <c r="P33" s="70">
        <f t="shared" si="14"/>
        <v>3.9507705922708837E-2</v>
      </c>
      <c r="Q33" s="16"/>
      <c r="R33" s="16"/>
      <c r="S33" s="16"/>
      <c r="T33" s="16"/>
      <c r="U33" s="16"/>
      <c r="V33" s="16"/>
    </row>
    <row r="34" spans="2:23" ht="12.75" customHeight="1">
      <c r="B34" s="16"/>
      <c r="C34" s="67"/>
      <c r="D34" s="67"/>
      <c r="E34" s="67"/>
      <c r="F34" s="50"/>
      <c r="G34" s="50"/>
      <c r="H34" s="50"/>
      <c r="I34" s="50"/>
      <c r="J34" s="50"/>
      <c r="K34" s="50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2:23" ht="12.75" customHeight="1">
      <c r="B35" s="16"/>
      <c r="C35" s="67"/>
      <c r="D35" s="67"/>
      <c r="E35" s="67"/>
      <c r="F35" s="50"/>
      <c r="G35" s="50"/>
      <c r="H35" s="50"/>
      <c r="I35" s="50"/>
      <c r="J35" s="50"/>
      <c r="K35" s="50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2:23" ht="12.75" customHeight="1">
      <c r="B36" s="16"/>
      <c r="C36" s="67"/>
      <c r="D36" s="67"/>
      <c r="E36" s="67"/>
      <c r="F36" s="50"/>
      <c r="G36" s="50"/>
      <c r="H36" s="50"/>
      <c r="I36" s="50"/>
      <c r="J36" s="50"/>
      <c r="K36" s="50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2:23" ht="12.75" customHeight="1">
      <c r="B37" s="16"/>
      <c r="C37" s="16"/>
      <c r="D37" s="16"/>
      <c r="E37" s="16"/>
      <c r="F37" s="81"/>
      <c r="G37" s="81"/>
      <c r="H37" s="81"/>
      <c r="I37" s="81"/>
      <c r="J37" s="81"/>
      <c r="K37" s="81"/>
      <c r="L37" s="16"/>
      <c r="M37" s="16"/>
      <c r="N37" s="16"/>
      <c r="O37" s="16"/>
      <c r="P37" s="16"/>
      <c r="S37" s="16"/>
      <c r="T37" s="16"/>
      <c r="U37" s="16"/>
      <c r="V37" s="16"/>
    </row>
    <row r="38" spans="2:23" ht="12.75" customHeight="1">
      <c r="B38" s="16"/>
      <c r="C38" s="52" t="s">
        <v>73</v>
      </c>
      <c r="D38" s="53"/>
      <c r="E38" s="54"/>
      <c r="F38" s="55"/>
      <c r="G38" s="55"/>
      <c r="H38" s="55"/>
      <c r="I38" s="55"/>
      <c r="J38" s="55"/>
      <c r="K38" s="55"/>
      <c r="L38" s="56"/>
      <c r="M38" s="56"/>
      <c r="N38" s="57"/>
      <c r="O38" s="56"/>
      <c r="P38" s="56"/>
      <c r="Q38" s="56"/>
      <c r="R38" s="56"/>
      <c r="S38" s="82"/>
      <c r="T38" s="56"/>
      <c r="U38" s="56"/>
      <c r="V38" s="58"/>
      <c r="W38" s="70"/>
    </row>
    <row r="39" spans="2:23" ht="12.75" customHeight="1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70"/>
    </row>
    <row r="40" spans="2:23" ht="12.75" customHeight="1">
      <c r="B40" s="16"/>
      <c r="C40" s="64" t="s">
        <v>23</v>
      </c>
      <c r="D40" s="64"/>
      <c r="E40" s="64"/>
      <c r="F40" s="65">
        <v>-30.4</v>
      </c>
      <c r="G40" s="65">
        <v>-37.5</v>
      </c>
      <c r="H40" s="65">
        <v>-40.299999999999997</v>
      </c>
      <c r="I40" s="65">
        <v>-36.1</v>
      </c>
      <c r="J40" s="65">
        <v>-37.299999999999997</v>
      </c>
      <c r="K40" s="65">
        <v>-31</v>
      </c>
      <c r="L40" s="76">
        <f>+('Company fin forecasts'!B23)</f>
        <v>-36</v>
      </c>
      <c r="M40" s="76">
        <f>+('Company fin forecasts'!C23)</f>
        <v>-51</v>
      </c>
      <c r="N40" s="76">
        <f>+('Company fin forecasts'!D23)</f>
        <v>-50</v>
      </c>
      <c r="O40" s="76">
        <f>+('Company fin forecasts'!E23)</f>
        <v>-50</v>
      </c>
      <c r="P40" s="76">
        <f>+('Company fin forecasts'!F23)</f>
        <v>-50</v>
      </c>
      <c r="Q40" s="83">
        <f t="shared" ref="Q40:V40" si="15">+P40</f>
        <v>-50</v>
      </c>
      <c r="R40" s="83">
        <f t="shared" si="15"/>
        <v>-50</v>
      </c>
      <c r="S40" s="83">
        <f t="shared" si="15"/>
        <v>-50</v>
      </c>
      <c r="T40" s="83">
        <f t="shared" si="15"/>
        <v>-50</v>
      </c>
      <c r="U40" s="83">
        <f t="shared" si="15"/>
        <v>-50</v>
      </c>
      <c r="V40" s="83">
        <f t="shared" si="15"/>
        <v>-50</v>
      </c>
    </row>
    <row r="41" spans="2:23" ht="12.75" customHeight="1">
      <c r="B41" s="16"/>
      <c r="C41" s="69" t="s">
        <v>64</v>
      </c>
      <c r="D41" s="69"/>
      <c r="E41" s="70"/>
      <c r="F41" s="70" t="str">
        <f t="shared" ref="F41:V41" si="16">IF(ISERROR(F40/E40-1),"n.a.",F40/E40-1)</f>
        <v>n.a.</v>
      </c>
      <c r="G41" s="70">
        <f t="shared" si="16"/>
        <v>0.23355263157894735</v>
      </c>
      <c r="H41" s="70">
        <f t="shared" si="16"/>
        <v>7.4666666666666659E-2</v>
      </c>
      <c r="I41" s="70">
        <f t="shared" si="16"/>
        <v>-0.10421836228287829</v>
      </c>
      <c r="J41" s="70">
        <f t="shared" si="16"/>
        <v>3.3240997229916802E-2</v>
      </c>
      <c r="K41" s="70">
        <f t="shared" si="16"/>
        <v>-0.16890080428954413</v>
      </c>
      <c r="L41" s="70">
        <f t="shared" si="16"/>
        <v>0.16129032258064524</v>
      </c>
      <c r="M41" s="70">
        <f t="shared" si="16"/>
        <v>0.41666666666666674</v>
      </c>
      <c r="N41" s="70">
        <f t="shared" si="16"/>
        <v>-1.9607843137254943E-2</v>
      </c>
      <c r="O41" s="70">
        <f t="shared" si="16"/>
        <v>0</v>
      </c>
      <c r="P41" s="70">
        <f t="shared" si="16"/>
        <v>0</v>
      </c>
      <c r="Q41" s="70">
        <f t="shared" si="16"/>
        <v>0</v>
      </c>
      <c r="R41" s="70">
        <f t="shared" si="16"/>
        <v>0</v>
      </c>
      <c r="S41" s="70">
        <f t="shared" si="16"/>
        <v>0</v>
      </c>
      <c r="T41" s="70">
        <f t="shared" si="16"/>
        <v>0</v>
      </c>
      <c r="U41" s="70">
        <f t="shared" si="16"/>
        <v>0</v>
      </c>
      <c r="V41" s="70">
        <f t="shared" si="16"/>
        <v>0</v>
      </c>
    </row>
    <row r="42" spans="2:23" ht="12.75" customHeight="1">
      <c r="B42" s="69"/>
      <c r="C42" s="69" t="s">
        <v>74</v>
      </c>
      <c r="D42" s="69"/>
      <c r="E42" s="70"/>
      <c r="F42" s="71">
        <f t="shared" ref="F42:V42" si="17">IF(ISERROR(-F40/F$11),"n.a.",-F40/F$11)</f>
        <v>3.2350750239438113E-2</v>
      </c>
      <c r="G42" s="71">
        <f t="shared" si="17"/>
        <v>3.7317145984675094E-2</v>
      </c>
      <c r="H42" s="71">
        <f t="shared" si="17"/>
        <v>3.9451786588350461E-2</v>
      </c>
      <c r="I42" s="71">
        <f t="shared" si="17"/>
        <v>3.2968036529680368E-2</v>
      </c>
      <c r="J42" s="71">
        <f t="shared" si="17"/>
        <v>3.2860540921504713E-2</v>
      </c>
      <c r="K42" s="71">
        <f t="shared" si="17"/>
        <v>2.7226418408571932E-2</v>
      </c>
      <c r="L42" s="71">
        <f t="shared" si="17"/>
        <v>3.1325289075688149E-2</v>
      </c>
      <c r="M42" s="71">
        <f t="shared" si="17"/>
        <v>4.6363636363636364E-2</v>
      </c>
      <c r="N42" s="71">
        <f t="shared" si="17"/>
        <v>3.6932057370415793E-2</v>
      </c>
      <c r="O42" s="71">
        <f t="shared" si="17"/>
        <v>3.4554835728332484E-2</v>
      </c>
      <c r="P42" s="71">
        <f t="shared" si="17"/>
        <v>3.4659153551726725E-2</v>
      </c>
      <c r="Q42" s="71">
        <f t="shared" si="17"/>
        <v>3.3979562305614434E-2</v>
      </c>
      <c r="R42" s="71">
        <f t="shared" ca="1" si="17"/>
        <v>3.3378744872416925E-2</v>
      </c>
      <c r="S42" s="71">
        <f t="shared" ca="1" si="17"/>
        <v>3.2853095314537784E-2</v>
      </c>
      <c r="T42" s="71">
        <f t="shared" ca="1" si="17"/>
        <v>3.2399502256736941E-2</v>
      </c>
      <c r="U42" s="71">
        <f t="shared" ca="1" si="17"/>
        <v>3.201531842271646E-2</v>
      </c>
      <c r="V42" s="71">
        <f t="shared" ca="1" si="17"/>
        <v>3.16983350719965E-2</v>
      </c>
    </row>
    <row r="43" spans="2:23" ht="12.75" customHeight="1">
      <c r="B43" s="69"/>
      <c r="C43" s="69" t="s">
        <v>75</v>
      </c>
      <c r="D43" s="69"/>
      <c r="E43" s="70"/>
      <c r="F43" s="70">
        <f t="shared" ref="F43:V43" si="18">(F15+F40)/F15</f>
        <v>0.69930761622156279</v>
      </c>
      <c r="G43" s="70">
        <f t="shared" si="18"/>
        <v>0.65878070973612379</v>
      </c>
      <c r="H43" s="70">
        <f t="shared" si="18"/>
        <v>0.64834205933682376</v>
      </c>
      <c r="I43" s="70">
        <f t="shared" si="18"/>
        <v>0.66789328426862915</v>
      </c>
      <c r="J43" s="70">
        <f t="shared" si="18"/>
        <v>0.65936073059360734</v>
      </c>
      <c r="K43" s="70">
        <f t="shared" si="18"/>
        <v>0.68431771894093685</v>
      </c>
      <c r="L43" s="70">
        <f t="shared" si="18"/>
        <v>0.61762010654499844</v>
      </c>
      <c r="M43" s="70">
        <f t="shared" si="18"/>
        <v>-5.2176891433537582</v>
      </c>
      <c r="N43" s="70">
        <f t="shared" si="18"/>
        <v>0.5527597523605855</v>
      </c>
      <c r="O43" s="70">
        <f t="shared" si="18"/>
        <v>0.59805439360848456</v>
      </c>
      <c r="P43" s="70">
        <f t="shared" si="18"/>
        <v>0.60805257353199449</v>
      </c>
      <c r="Q43" s="70">
        <f t="shared" ca="1" si="18"/>
        <v>0.61687284834514167</v>
      </c>
      <c r="R43" s="70">
        <f t="shared" ca="1" si="18"/>
        <v>0.62475562868437973</v>
      </c>
      <c r="S43" s="70">
        <f t="shared" ca="1" si="18"/>
        <v>0.63174959027057742</v>
      </c>
      <c r="T43" s="70">
        <f t="shared" ca="1" si="18"/>
        <v>0.63789730349056484</v>
      </c>
      <c r="U43" s="70">
        <f t="shared" ca="1" si="18"/>
        <v>0.64323566670766019</v>
      </c>
      <c r="V43" s="70">
        <f t="shared" ca="1" si="18"/>
        <v>0.64779627697781672</v>
      </c>
    </row>
    <row r="44" spans="2:23" ht="12.75" customHeight="1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2:23" ht="12.75" customHeight="1">
      <c r="C45" s="64" t="s">
        <v>76</v>
      </c>
      <c r="D45" s="64"/>
      <c r="E45" s="64"/>
      <c r="F45" s="65">
        <f>-17+1+10.7</f>
        <v>-5.3000000000000007</v>
      </c>
      <c r="G45" s="65">
        <f>0.9-3+27.2</f>
        <v>25.099999999999998</v>
      </c>
      <c r="H45" s="65">
        <f>-8.6-4.9+2.3</f>
        <v>-11.2</v>
      </c>
      <c r="I45" s="65">
        <f>-33.2+2.3+14.6</f>
        <v>-16.300000000000004</v>
      </c>
      <c r="J45" s="65">
        <f>-4.4+2.4-10.6</f>
        <v>-12.6</v>
      </c>
      <c r="K45" s="65">
        <f>11.9-3.1-19.2</f>
        <v>-10.399999999999999</v>
      </c>
      <c r="L45" s="76">
        <f>+('Company fin forecasts'!B27)</f>
        <v>6</v>
      </c>
      <c r="M45" s="76">
        <f>+('Company fin forecasts'!C27)</f>
        <v>16.1119544409034</v>
      </c>
      <c r="N45" s="76">
        <f>+('Company fin forecasts'!D27)</f>
        <v>15.1688926668047</v>
      </c>
      <c r="O45" s="76">
        <f>+('Company fin forecasts'!E27)</f>
        <v>11.1102169006686</v>
      </c>
      <c r="P45" s="76">
        <f>+('Company fin forecasts'!F27)</f>
        <v>3.9548595532390398</v>
      </c>
      <c r="Q45" s="66">
        <f t="shared" ref="Q45:V45" si="19">Q47*Q11</f>
        <v>0</v>
      </c>
      <c r="R45" s="66">
        <f t="shared" ca="1" si="19"/>
        <v>0</v>
      </c>
      <c r="S45" s="66">
        <f t="shared" ca="1" si="19"/>
        <v>0</v>
      </c>
      <c r="T45" s="66">
        <f t="shared" ca="1" si="19"/>
        <v>0</v>
      </c>
      <c r="U45" s="66">
        <f t="shared" ca="1" si="19"/>
        <v>0</v>
      </c>
      <c r="V45" s="66">
        <f t="shared" ca="1" si="19"/>
        <v>0</v>
      </c>
    </row>
    <row r="46" spans="2:23" ht="12.75" customHeight="1">
      <c r="C46" s="69" t="s">
        <v>64</v>
      </c>
      <c r="D46" s="67"/>
      <c r="E46" s="67"/>
      <c r="F46" s="70" t="str">
        <f t="shared" ref="F46:V46" si="20">IF(ISERROR(F45/E45-1),"n.a.",F45/E45-1)</f>
        <v>n.a.</v>
      </c>
      <c r="G46" s="70">
        <f t="shared" si="20"/>
        <v>-5.7358490566037723</v>
      </c>
      <c r="H46" s="70">
        <f t="shared" si="20"/>
        <v>-1.4462151394422311</v>
      </c>
      <c r="I46" s="70">
        <f t="shared" si="20"/>
        <v>0.45535714285714324</v>
      </c>
      <c r="J46" s="70">
        <f t="shared" si="20"/>
        <v>-0.22699386503067509</v>
      </c>
      <c r="K46" s="70">
        <f t="shared" si="20"/>
        <v>-0.17460317460317465</v>
      </c>
      <c r="L46" s="70">
        <f t="shared" si="20"/>
        <v>-1.5769230769230771</v>
      </c>
      <c r="M46" s="70">
        <f t="shared" si="20"/>
        <v>1.6853257401505668</v>
      </c>
      <c r="N46" s="70">
        <f t="shared" si="20"/>
        <v>-5.8531804912788865E-2</v>
      </c>
      <c r="O46" s="70">
        <f t="shared" si="20"/>
        <v>-0.26756572515131738</v>
      </c>
      <c r="P46" s="70">
        <f t="shared" si="20"/>
        <v>-0.6440339924415841</v>
      </c>
      <c r="Q46" s="70">
        <f t="shared" si="20"/>
        <v>-1</v>
      </c>
      <c r="R46" s="70" t="str">
        <f t="shared" ca="1" si="20"/>
        <v>n.a.</v>
      </c>
      <c r="S46" s="70" t="str">
        <f t="shared" ca="1" si="20"/>
        <v>n.a.</v>
      </c>
      <c r="T46" s="70" t="str">
        <f t="shared" ca="1" si="20"/>
        <v>n.a.</v>
      </c>
      <c r="U46" s="70" t="str">
        <f t="shared" ca="1" si="20"/>
        <v>n.a.</v>
      </c>
      <c r="V46" s="70" t="str">
        <f t="shared" ca="1" si="20"/>
        <v>n.a.</v>
      </c>
    </row>
    <row r="47" spans="2:23" ht="12.75" customHeight="1">
      <c r="C47" s="69" t="s">
        <v>74</v>
      </c>
      <c r="D47" s="69"/>
      <c r="E47" s="70"/>
      <c r="F47" s="70">
        <f t="shared" ref="F47:P47" si="21">IF(ISERROR(F45/F$11),"n.a.",F45/F$11)</f>
        <v>-5.6400979035862511E-3</v>
      </c>
      <c r="G47" s="70">
        <f t="shared" si="21"/>
        <v>2.4977609712409192E-2</v>
      </c>
      <c r="H47" s="70">
        <f t="shared" si="21"/>
        <v>-1.0964268232990699E-2</v>
      </c>
      <c r="I47" s="70">
        <f t="shared" si="21"/>
        <v>-1.4885844748858451E-2</v>
      </c>
      <c r="J47" s="70">
        <f t="shared" si="21"/>
        <v>-1.1100343582063256E-2</v>
      </c>
      <c r="K47" s="70">
        <f t="shared" si="21"/>
        <v>-9.1340242402950991E-3</v>
      </c>
      <c r="L47" s="70">
        <f t="shared" si="21"/>
        <v>5.2208815126146913E-3</v>
      </c>
      <c r="M47" s="70">
        <f t="shared" si="21"/>
        <v>1.4647231309912181E-2</v>
      </c>
      <c r="N47" s="70">
        <f t="shared" si="21"/>
        <v>1.1204368284322211E-2</v>
      </c>
      <c r="O47" s="70">
        <f t="shared" si="21"/>
        <v>7.6782343981749357E-3</v>
      </c>
      <c r="P47" s="70">
        <f t="shared" si="21"/>
        <v>2.7414416906245045E-3</v>
      </c>
      <c r="Q47" s="72">
        <v>0</v>
      </c>
      <c r="R47" s="70">
        <f>Q47</f>
        <v>0</v>
      </c>
      <c r="S47" s="70">
        <f>R47</f>
        <v>0</v>
      </c>
      <c r="T47" s="70">
        <f>S47</f>
        <v>0</v>
      </c>
      <c r="U47" s="70">
        <f>T47</f>
        <v>0</v>
      </c>
      <c r="V47" s="70">
        <f>U47</f>
        <v>0</v>
      </c>
    </row>
    <row r="48" spans="2:23" ht="12.75" customHeight="1">
      <c r="C48" s="69"/>
      <c r="D48" s="69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</row>
    <row r="49" spans="2:22" ht="12.75" customHeight="1">
      <c r="B49" s="16"/>
      <c r="C49" s="64" t="s">
        <v>77</v>
      </c>
      <c r="D49" s="64"/>
      <c r="E49" s="64"/>
      <c r="F49" s="65"/>
      <c r="G49" s="65"/>
      <c r="H49" s="65"/>
      <c r="I49" s="65"/>
      <c r="J49" s="65">
        <v>-1.5</v>
      </c>
      <c r="K49" s="65">
        <v>0.74</v>
      </c>
      <c r="L49" s="76">
        <f>+('Company fin forecasts'!B29)</f>
        <v>0</v>
      </c>
      <c r="M49" s="76">
        <f>+('Company fin forecasts'!C29)</f>
        <v>0</v>
      </c>
      <c r="N49" s="76">
        <f>+('Company fin forecasts'!D29)</f>
        <v>-5</v>
      </c>
      <c r="O49" s="76">
        <f>+('Company fin forecasts'!E29)</f>
        <v>-5</v>
      </c>
      <c r="P49" s="76">
        <f>+('Company fin forecasts'!F29)</f>
        <v>-5</v>
      </c>
      <c r="Q49" s="65">
        <v>-5</v>
      </c>
      <c r="R49" s="65">
        <f>+Q49</f>
        <v>-5</v>
      </c>
      <c r="S49" s="65">
        <f>+R49</f>
        <v>-5</v>
      </c>
      <c r="T49" s="65">
        <f>+S49</f>
        <v>-5</v>
      </c>
      <c r="U49" s="65">
        <f>+T49</f>
        <v>-5</v>
      </c>
      <c r="V49" s="65">
        <f>+U49</f>
        <v>-5</v>
      </c>
    </row>
    <row r="50" spans="2:22" ht="12.75" customHeight="1">
      <c r="B50" s="16"/>
      <c r="C50" s="69" t="s">
        <v>64</v>
      </c>
      <c r="D50" s="69"/>
      <c r="E50" s="70"/>
      <c r="F50" s="70" t="str">
        <f t="shared" ref="F50:V50" si="22">IF(ISERROR(F49/E49-1),"n.a.",F49/E49-1)</f>
        <v>n.a.</v>
      </c>
      <c r="G50" s="70" t="str">
        <f t="shared" si="22"/>
        <v>n.a.</v>
      </c>
      <c r="H50" s="70" t="str">
        <f t="shared" si="22"/>
        <v>n.a.</v>
      </c>
      <c r="I50" s="70" t="str">
        <f t="shared" si="22"/>
        <v>n.a.</v>
      </c>
      <c r="J50" s="70" t="str">
        <f t="shared" si="22"/>
        <v>n.a.</v>
      </c>
      <c r="K50" s="70">
        <f t="shared" si="22"/>
        <v>-1.4933333333333334</v>
      </c>
      <c r="L50" s="70">
        <f t="shared" si="22"/>
        <v>-1</v>
      </c>
      <c r="M50" s="70" t="str">
        <f t="shared" si="22"/>
        <v>n.a.</v>
      </c>
      <c r="N50" s="70" t="str">
        <f t="shared" si="22"/>
        <v>n.a.</v>
      </c>
      <c r="O50" s="70">
        <f t="shared" si="22"/>
        <v>0</v>
      </c>
      <c r="P50" s="70">
        <f t="shared" si="22"/>
        <v>0</v>
      </c>
      <c r="Q50" s="70">
        <f t="shared" si="22"/>
        <v>0</v>
      </c>
      <c r="R50" s="70">
        <f t="shared" si="22"/>
        <v>0</v>
      </c>
      <c r="S50" s="70">
        <f t="shared" si="22"/>
        <v>0</v>
      </c>
      <c r="T50" s="70">
        <f t="shared" si="22"/>
        <v>0</v>
      </c>
      <c r="U50" s="70">
        <f t="shared" si="22"/>
        <v>0</v>
      </c>
      <c r="V50" s="70">
        <f t="shared" si="22"/>
        <v>0</v>
      </c>
    </row>
    <row r="51" spans="2:22" ht="12.75" customHeight="1">
      <c r="B51" s="69"/>
      <c r="C51" s="69" t="s">
        <v>74</v>
      </c>
      <c r="D51" s="69"/>
      <c r="E51" s="70"/>
      <c r="F51" s="71">
        <f t="shared" ref="F51:V51" si="23">IF(ISERROR(-F49/F$11),"n.a.",-F49/F$11)</f>
        <v>0</v>
      </c>
      <c r="G51" s="71">
        <f t="shared" si="23"/>
        <v>0</v>
      </c>
      <c r="H51" s="71">
        <f t="shared" si="23"/>
        <v>0</v>
      </c>
      <c r="I51" s="71">
        <f t="shared" si="23"/>
        <v>0</v>
      </c>
      <c r="J51" s="71">
        <f t="shared" si="23"/>
        <v>1.3214694740551493E-3</v>
      </c>
      <c r="K51" s="71">
        <f t="shared" si="23"/>
        <v>-6.4992095555945904E-4</v>
      </c>
      <c r="L51" s="71">
        <f t="shared" si="23"/>
        <v>0</v>
      </c>
      <c r="M51" s="71">
        <f t="shared" si="23"/>
        <v>0</v>
      </c>
      <c r="N51" s="71">
        <f t="shared" si="23"/>
        <v>3.6932057370415794E-3</v>
      </c>
      <c r="O51" s="71">
        <f t="shared" si="23"/>
        <v>3.4554835728332488E-3</v>
      </c>
      <c r="P51" s="71">
        <f t="shared" si="23"/>
        <v>3.4659153551726725E-3</v>
      </c>
      <c r="Q51" s="71">
        <f t="shared" si="23"/>
        <v>3.3979562305614434E-3</v>
      </c>
      <c r="R51" s="71">
        <f t="shared" ca="1" si="23"/>
        <v>3.3378744872416925E-3</v>
      </c>
      <c r="S51" s="71">
        <f t="shared" ca="1" si="23"/>
        <v>3.2853095314537783E-3</v>
      </c>
      <c r="T51" s="71">
        <f t="shared" ca="1" si="23"/>
        <v>3.2399502256736943E-3</v>
      </c>
      <c r="U51" s="71">
        <f t="shared" ca="1" si="23"/>
        <v>3.2015318422716462E-3</v>
      </c>
      <c r="V51" s="71">
        <f t="shared" ca="1" si="23"/>
        <v>3.1698335071996498E-3</v>
      </c>
    </row>
    <row r="52" spans="2:22" ht="12.75" customHeight="1">
      <c r="C52" s="69"/>
      <c r="D52" s="69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</row>
    <row r="53" spans="2:22" ht="12.75" customHeight="1">
      <c r="B53" s="16"/>
      <c r="C53" s="64" t="s">
        <v>78</v>
      </c>
      <c r="D53" s="64"/>
      <c r="E53" s="64"/>
      <c r="F53" s="65"/>
      <c r="G53" s="65"/>
      <c r="H53" s="65"/>
      <c r="I53" s="65"/>
      <c r="J53" s="65">
        <v>0</v>
      </c>
      <c r="K53" s="65">
        <v>0</v>
      </c>
      <c r="L53" s="76">
        <f>+('Company fin forecasts'!B15+'Company fin forecasts'!B22)</f>
        <v>0</v>
      </c>
      <c r="M53" s="76">
        <f>+('Company fin forecasts'!C15+'Company fin forecasts'!C22)</f>
        <v>-18.004468664734802</v>
      </c>
      <c r="N53" s="76">
        <f>+('Company fin forecasts'!D15+'Company fin forecasts'!D22)</f>
        <v>-6.7527180429793701</v>
      </c>
      <c r="O53" s="76">
        <f>+('Company fin forecasts'!E15+'Company fin forecasts'!E22)</f>
        <v>25.138454026318879</v>
      </c>
      <c r="P53" s="76">
        <f>+('Company fin forecasts'!F15+'Company fin forecasts'!F22)</f>
        <v>-4.8650405710493096</v>
      </c>
      <c r="Q53" s="65">
        <v>0</v>
      </c>
      <c r="R53" s="65">
        <f>+Q53</f>
        <v>0</v>
      </c>
      <c r="S53" s="65">
        <f>+R53</f>
        <v>0</v>
      </c>
      <c r="T53" s="65">
        <f>+S53</f>
        <v>0</v>
      </c>
      <c r="U53" s="65">
        <f>+T53</f>
        <v>0</v>
      </c>
      <c r="V53" s="65">
        <f>+U53</f>
        <v>0</v>
      </c>
    </row>
    <row r="54" spans="2:22" ht="12.75" customHeight="1">
      <c r="B54" s="16"/>
      <c r="C54" s="69" t="s">
        <v>64</v>
      </c>
      <c r="D54" s="69"/>
      <c r="E54" s="70"/>
      <c r="F54" s="70" t="str">
        <f t="shared" ref="F54:V54" si="24">IF(ISERROR(F53/E53-1),"n.a.",F53/E53-1)</f>
        <v>n.a.</v>
      </c>
      <c r="G54" s="70" t="str">
        <f t="shared" si="24"/>
        <v>n.a.</v>
      </c>
      <c r="H54" s="70" t="str">
        <f t="shared" si="24"/>
        <v>n.a.</v>
      </c>
      <c r="I54" s="70" t="str">
        <f t="shared" si="24"/>
        <v>n.a.</v>
      </c>
      <c r="J54" s="70" t="str">
        <f t="shared" si="24"/>
        <v>n.a.</v>
      </c>
      <c r="K54" s="70" t="str">
        <f t="shared" si="24"/>
        <v>n.a.</v>
      </c>
      <c r="L54" s="70" t="str">
        <f t="shared" si="24"/>
        <v>n.a.</v>
      </c>
      <c r="M54" s="70" t="str">
        <f t="shared" si="24"/>
        <v>n.a.</v>
      </c>
      <c r="N54" s="70">
        <f t="shared" si="24"/>
        <v>-0.62494210916616155</v>
      </c>
      <c r="O54" s="70">
        <f t="shared" si="24"/>
        <v>-4.7227163738096092</v>
      </c>
      <c r="P54" s="70">
        <f t="shared" si="24"/>
        <v>-1.193529823510858</v>
      </c>
      <c r="Q54" s="70">
        <f t="shared" si="24"/>
        <v>-1</v>
      </c>
      <c r="R54" s="70" t="str">
        <f t="shared" si="24"/>
        <v>n.a.</v>
      </c>
      <c r="S54" s="70" t="str">
        <f t="shared" si="24"/>
        <v>n.a.</v>
      </c>
      <c r="T54" s="70" t="str">
        <f t="shared" si="24"/>
        <v>n.a.</v>
      </c>
      <c r="U54" s="70" t="str">
        <f t="shared" si="24"/>
        <v>n.a.</v>
      </c>
      <c r="V54" s="70" t="str">
        <f t="shared" si="24"/>
        <v>n.a.</v>
      </c>
    </row>
    <row r="55" spans="2:22" ht="12.75" customHeight="1">
      <c r="B55" s="69"/>
      <c r="C55" s="69" t="s">
        <v>74</v>
      </c>
      <c r="D55" s="69"/>
      <c r="E55" s="70"/>
      <c r="F55" s="71">
        <f t="shared" ref="F55:V55" si="25">IF(ISERROR(-F53/F$11),"n.a.",-F53/F$11)</f>
        <v>0</v>
      </c>
      <c r="G55" s="71">
        <f t="shared" si="25"/>
        <v>0</v>
      </c>
      <c r="H55" s="71">
        <f t="shared" si="25"/>
        <v>0</v>
      </c>
      <c r="I55" s="71">
        <f t="shared" si="25"/>
        <v>0</v>
      </c>
      <c r="J55" s="71">
        <f t="shared" si="25"/>
        <v>0</v>
      </c>
      <c r="K55" s="71">
        <f t="shared" si="25"/>
        <v>0</v>
      </c>
      <c r="L55" s="71">
        <f t="shared" si="25"/>
        <v>0</v>
      </c>
      <c r="M55" s="71">
        <f t="shared" si="25"/>
        <v>1.6367698786122546E-2</v>
      </c>
      <c r="N55" s="71">
        <f t="shared" si="25"/>
        <v>4.9878354033911186E-3</v>
      </c>
      <c r="O55" s="71">
        <f t="shared" si="25"/>
        <v>-1.7373102986873744E-2</v>
      </c>
      <c r="P55" s="71">
        <f t="shared" si="25"/>
        <v>3.3723637637475658E-3</v>
      </c>
      <c r="Q55" s="71">
        <f t="shared" si="25"/>
        <v>0</v>
      </c>
      <c r="R55" s="71">
        <f t="shared" ca="1" si="25"/>
        <v>0</v>
      </c>
      <c r="S55" s="71">
        <f t="shared" ca="1" si="25"/>
        <v>0</v>
      </c>
      <c r="T55" s="71">
        <f t="shared" ca="1" si="25"/>
        <v>0</v>
      </c>
      <c r="U55" s="71">
        <f t="shared" ca="1" si="25"/>
        <v>0</v>
      </c>
      <c r="V55" s="71">
        <f t="shared" ca="1" si="25"/>
        <v>0</v>
      </c>
    </row>
    <row r="56" spans="2:22" ht="12.75" customHeight="1">
      <c r="L56" s="59"/>
      <c r="M56" s="59"/>
    </row>
    <row r="57" spans="2:22" ht="12.75" customHeight="1">
      <c r="C57" s="84" t="s">
        <v>79</v>
      </c>
      <c r="D57" s="85"/>
      <c r="E57" s="86"/>
      <c r="F57" s="87"/>
      <c r="G57" s="87"/>
      <c r="H57" s="87"/>
      <c r="I57" s="87"/>
      <c r="J57" s="87"/>
      <c r="K57" s="87"/>
      <c r="L57" s="86"/>
      <c r="M57" s="87"/>
      <c r="N57" s="85"/>
      <c r="O57" s="85"/>
      <c r="P57" s="85"/>
      <c r="Q57" s="85"/>
      <c r="R57" s="85"/>
      <c r="S57" s="85"/>
      <c r="T57" s="85"/>
      <c r="U57" s="85"/>
      <c r="V57" s="85"/>
    </row>
    <row r="58" spans="2:22" ht="12.75" customHeight="1">
      <c r="C58" s="88" t="s">
        <v>80</v>
      </c>
      <c r="D58" s="88"/>
      <c r="E58" s="89"/>
      <c r="F58" s="90">
        <f t="shared" ref="F58:V58" si="26">F9</f>
        <v>41729</v>
      </c>
      <c r="G58" s="90">
        <f t="shared" si="26"/>
        <v>42094</v>
      </c>
      <c r="H58" s="90">
        <f t="shared" si="26"/>
        <v>42460</v>
      </c>
      <c r="I58" s="90">
        <f t="shared" si="26"/>
        <v>42825</v>
      </c>
      <c r="J58" s="90">
        <f t="shared" si="26"/>
        <v>43190</v>
      </c>
      <c r="K58" s="90">
        <f t="shared" si="26"/>
        <v>43555</v>
      </c>
      <c r="L58" s="91">
        <f t="shared" si="26"/>
        <v>43921</v>
      </c>
      <c r="M58" s="91">
        <f t="shared" si="26"/>
        <v>44286</v>
      </c>
      <c r="N58" s="91">
        <f t="shared" si="26"/>
        <v>44651</v>
      </c>
      <c r="O58" s="91">
        <f t="shared" si="26"/>
        <v>45016</v>
      </c>
      <c r="P58" s="91">
        <f t="shared" si="26"/>
        <v>45382</v>
      </c>
      <c r="Q58" s="91">
        <f t="shared" si="26"/>
        <v>45747</v>
      </c>
      <c r="R58" s="91">
        <f t="shared" si="26"/>
        <v>46112</v>
      </c>
      <c r="S58" s="91">
        <f t="shared" si="26"/>
        <v>46477</v>
      </c>
      <c r="T58" s="91">
        <f t="shared" si="26"/>
        <v>46843</v>
      </c>
      <c r="U58" s="91">
        <f t="shared" si="26"/>
        <v>47208</v>
      </c>
      <c r="V58" s="91">
        <f t="shared" si="26"/>
        <v>47573</v>
      </c>
    </row>
    <row r="59" spans="2:22" ht="12.75" customHeight="1">
      <c r="C59" s="92"/>
      <c r="D59" s="92"/>
      <c r="E59" s="93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</row>
    <row r="60" spans="2:22" ht="12.75" customHeight="1">
      <c r="C60" s="95" t="s">
        <v>7</v>
      </c>
      <c r="D60" s="95"/>
      <c r="E60" s="95"/>
      <c r="F60" s="96">
        <f t="shared" ref="F60:V60" si="27">F11</f>
        <v>939.7</v>
      </c>
      <c r="G60" s="96">
        <f t="shared" si="27"/>
        <v>1004.9</v>
      </c>
      <c r="H60" s="96">
        <f t="shared" si="27"/>
        <v>1021.5</v>
      </c>
      <c r="I60" s="96">
        <f t="shared" si="27"/>
        <v>1095</v>
      </c>
      <c r="J60" s="96">
        <f t="shared" si="27"/>
        <v>1135.0999999999999</v>
      </c>
      <c r="K60" s="96">
        <f t="shared" si="27"/>
        <v>1138.5999999999999</v>
      </c>
      <c r="L60" s="96">
        <f t="shared" si="27"/>
        <v>1149.23121421216</v>
      </c>
      <c r="M60" s="96">
        <f t="shared" si="27"/>
        <v>1100</v>
      </c>
      <c r="N60" s="96">
        <f t="shared" si="27"/>
        <v>1353.8373857301599</v>
      </c>
      <c r="O60" s="96">
        <f t="shared" si="27"/>
        <v>1446.9754795854401</v>
      </c>
      <c r="P60" s="96">
        <f t="shared" si="27"/>
        <v>1442.6203434362001</v>
      </c>
      <c r="Q60" s="96">
        <f t="shared" si="27"/>
        <v>1471.4727503049241</v>
      </c>
      <c r="R60" s="96">
        <f t="shared" ca="1" si="27"/>
        <v>1497.9592609342935</v>
      </c>
      <c r="S60" s="96">
        <f t="shared" ca="1" si="27"/>
        <v>1521.9266106069026</v>
      </c>
      <c r="T60" s="96">
        <f t="shared" ca="1" si="27"/>
        <v>1543.2335843864182</v>
      </c>
      <c r="U60" s="96">
        <f t="shared" ca="1" si="27"/>
        <v>1561.7523880231818</v>
      </c>
      <c r="V60" s="96">
        <f t="shared" ca="1" si="27"/>
        <v>1577.3699119034136</v>
      </c>
    </row>
    <row r="61" spans="2:22" ht="12.75" customHeight="1">
      <c r="C61" s="97" t="s">
        <v>64</v>
      </c>
      <c r="D61" s="98"/>
      <c r="E61" s="99"/>
      <c r="F61" s="100" t="str">
        <f t="shared" ref="F61:V61" si="28">IF(ISERROR(F60/E60-1),"n.a.",F60/E60-1)</f>
        <v>n.a.</v>
      </c>
      <c r="G61" s="100">
        <f t="shared" si="28"/>
        <v>6.9383845908268516E-2</v>
      </c>
      <c r="H61" s="100">
        <f t="shared" si="28"/>
        <v>1.6519056622549488E-2</v>
      </c>
      <c r="I61" s="100">
        <f t="shared" si="28"/>
        <v>7.1953010279001361E-2</v>
      </c>
      <c r="J61" s="100">
        <f t="shared" si="28"/>
        <v>3.6621004566209869E-2</v>
      </c>
      <c r="K61" s="100">
        <f t="shared" si="28"/>
        <v>3.0834287727954379E-3</v>
      </c>
      <c r="L61" s="100">
        <f t="shared" si="28"/>
        <v>9.337093107465444E-3</v>
      </c>
      <c r="M61" s="100">
        <f t="shared" si="28"/>
        <v>-4.2838389353973327E-2</v>
      </c>
      <c r="N61" s="100">
        <f t="shared" si="28"/>
        <v>0.23076125975469086</v>
      </c>
      <c r="O61" s="100">
        <f t="shared" si="28"/>
        <v>6.8795628512687612E-2</v>
      </c>
      <c r="P61" s="100">
        <f t="shared" si="28"/>
        <v>-3.0098202842302468E-3</v>
      </c>
      <c r="Q61" s="100">
        <f t="shared" si="28"/>
        <v>2.0000000000000018E-2</v>
      </c>
      <c r="R61" s="100">
        <f t="shared" ca="1" si="28"/>
        <v>1.80000007637795E-2</v>
      </c>
      <c r="S61" s="100">
        <f t="shared" ca="1" si="28"/>
        <v>1.6000000999800479E-2</v>
      </c>
      <c r="T61" s="100">
        <f t="shared" ca="1" si="28"/>
        <v>1.4000000808855662E-2</v>
      </c>
      <c r="U61" s="100">
        <f t="shared" ca="1" si="28"/>
        <v>1.2000000404427835E-2</v>
      </c>
      <c r="V61" s="100">
        <f t="shared" ca="1" si="28"/>
        <v>1.0000000000000009E-2</v>
      </c>
    </row>
    <row r="62" spans="2:22" ht="12.75" customHeight="1">
      <c r="C62" s="95" t="s">
        <v>63</v>
      </c>
      <c r="D62" s="95"/>
      <c r="E62" s="95"/>
      <c r="F62" s="96">
        <f t="shared" ref="F62:V62" si="29">F15</f>
        <v>101.1</v>
      </c>
      <c r="G62" s="96">
        <f t="shared" si="29"/>
        <v>109.9</v>
      </c>
      <c r="H62" s="96">
        <f t="shared" si="29"/>
        <v>114.6</v>
      </c>
      <c r="I62" s="96">
        <f t="shared" si="29"/>
        <v>108.7</v>
      </c>
      <c r="J62" s="96">
        <f t="shared" si="29"/>
        <v>109.5</v>
      </c>
      <c r="K62" s="96">
        <f t="shared" si="29"/>
        <v>98.2</v>
      </c>
      <c r="L62" s="96">
        <f t="shared" si="29"/>
        <v>94.147209662938195</v>
      </c>
      <c r="M62" s="96">
        <f t="shared" si="29"/>
        <v>8.2024042733810774</v>
      </c>
      <c r="N62" s="96">
        <f t="shared" si="29"/>
        <v>111.79673623719187</v>
      </c>
      <c r="O62" s="96">
        <f t="shared" si="29"/>
        <v>124.39494101920214</v>
      </c>
      <c r="P62" s="96">
        <f t="shared" si="29"/>
        <v>127.56812935492377</v>
      </c>
      <c r="Q62" s="96">
        <f t="shared" ca="1" si="29"/>
        <v>130.50497670037939</v>
      </c>
      <c r="R62" s="96">
        <f t="shared" ca="1" si="29"/>
        <v>133.24650233845801</v>
      </c>
      <c r="S62" s="96">
        <f t="shared" ca="1" si="29"/>
        <v>135.77717411567374</v>
      </c>
      <c r="T62" s="96">
        <f t="shared" ca="1" si="29"/>
        <v>138.08237409438118</v>
      </c>
      <c r="U62" s="96">
        <f t="shared" ca="1" si="29"/>
        <v>140.14853878072222</v>
      </c>
      <c r="V62" s="96">
        <f t="shared" ca="1" si="29"/>
        <v>141.96329207130722</v>
      </c>
    </row>
    <row r="63" spans="2:22" ht="12.75" customHeight="1">
      <c r="C63" s="97" t="s">
        <v>64</v>
      </c>
      <c r="D63" s="98"/>
      <c r="E63" s="99"/>
      <c r="F63" s="100" t="str">
        <f t="shared" ref="F63:V63" si="30">IF(ISERROR(F62/E62-1),"n.a.",F62/E62-1)</f>
        <v>n.a.</v>
      </c>
      <c r="G63" s="100">
        <f t="shared" si="30"/>
        <v>8.7042532146389906E-2</v>
      </c>
      <c r="H63" s="100">
        <f t="shared" si="30"/>
        <v>4.2766151046405687E-2</v>
      </c>
      <c r="I63" s="100">
        <f t="shared" si="30"/>
        <v>-5.148342059336819E-2</v>
      </c>
      <c r="J63" s="100">
        <f t="shared" si="30"/>
        <v>7.3597056117755688E-3</v>
      </c>
      <c r="K63" s="100">
        <f t="shared" si="30"/>
        <v>-0.10319634703196345</v>
      </c>
      <c r="L63" s="100">
        <f t="shared" si="30"/>
        <v>-4.1270777363154876E-2</v>
      </c>
      <c r="M63" s="100">
        <f t="shared" si="30"/>
        <v>-0.91287682021860261</v>
      </c>
      <c r="N63" s="100">
        <f t="shared" si="30"/>
        <v>12.629752022830816</v>
      </c>
      <c r="O63" s="100">
        <f t="shared" si="30"/>
        <v>0.11268848453036662</v>
      </c>
      <c r="P63" s="100">
        <f t="shared" si="30"/>
        <v>2.5508982195922236E-2</v>
      </c>
      <c r="Q63" s="100">
        <f t="shared" ca="1" si="30"/>
        <v>2.3021795179614557E-2</v>
      </c>
      <c r="R63" s="100">
        <f t="shared" ca="1" si="30"/>
        <v>2.1007058178116544E-2</v>
      </c>
      <c r="S63" s="100">
        <f t="shared" ca="1" si="30"/>
        <v>1.8992406800949935E-2</v>
      </c>
      <c r="T63" s="100">
        <f t="shared" ca="1" si="30"/>
        <v>1.6977816733345419E-2</v>
      </c>
      <c r="U63" s="100">
        <f t="shared" ca="1" si="30"/>
        <v>1.4963276087133215E-2</v>
      </c>
      <c r="V63" s="100">
        <f t="shared" ca="1" si="30"/>
        <v>1.2948784956112736E-2</v>
      </c>
    </row>
    <row r="64" spans="2:22" ht="12.75" customHeight="1">
      <c r="C64" s="97" t="s">
        <v>68</v>
      </c>
      <c r="D64" s="98"/>
      <c r="E64" s="101"/>
      <c r="F64" s="102">
        <f t="shared" ref="F64:V64" si="31">F62/F$60</f>
        <v>0.10758752793444715</v>
      </c>
      <c r="G64" s="102">
        <f t="shared" si="31"/>
        <v>0.10936411583242114</v>
      </c>
      <c r="H64" s="102">
        <f t="shared" si="31"/>
        <v>0.11218795888399412</v>
      </c>
      <c r="I64" s="102">
        <f t="shared" si="31"/>
        <v>9.9269406392694062E-2</v>
      </c>
      <c r="J64" s="102">
        <f t="shared" si="31"/>
        <v>9.6467271606025903E-2</v>
      </c>
      <c r="K64" s="102">
        <f t="shared" si="31"/>
        <v>8.6246267345863353E-2</v>
      </c>
      <c r="L64" s="102">
        <f t="shared" si="31"/>
        <v>8.1921904398915543E-2</v>
      </c>
      <c r="M64" s="102">
        <f t="shared" si="31"/>
        <v>7.4567311576191611E-3</v>
      </c>
      <c r="N64" s="102">
        <f t="shared" si="31"/>
        <v>8.2577669530744247E-2</v>
      </c>
      <c r="O64" s="102">
        <f t="shared" si="31"/>
        <v>8.5968935047082765E-2</v>
      </c>
      <c r="P64" s="102">
        <f t="shared" si="31"/>
        <v>8.8428067672376806E-2</v>
      </c>
      <c r="Q64" s="102">
        <f t="shared" ca="1" si="31"/>
        <v>8.8690039739666021E-2</v>
      </c>
      <c r="R64" s="102">
        <f t="shared" ca="1" si="31"/>
        <v>8.8952020133945917E-2</v>
      </c>
      <c r="S64" s="102">
        <f t="shared" ca="1" si="31"/>
        <v>8.9214008855216437E-2</v>
      </c>
      <c r="T64" s="102">
        <f t="shared" ca="1" si="31"/>
        <v>8.947600382172996E-2</v>
      </c>
      <c r="U64" s="102">
        <f t="shared" ca="1" si="31"/>
        <v>8.9738001910864978E-2</v>
      </c>
      <c r="V64" s="102">
        <f t="shared" ca="1" si="31"/>
        <v>0.09</v>
      </c>
    </row>
    <row r="65" spans="3:22" ht="12.75" customHeight="1">
      <c r="C65" s="98" t="s">
        <v>81</v>
      </c>
      <c r="D65" s="98"/>
      <c r="E65" s="101"/>
      <c r="F65" s="103">
        <f t="shared" ref="F65:V65" si="32">+F68-F62</f>
        <v>-23.299999999999997</v>
      </c>
      <c r="G65" s="103">
        <f t="shared" si="32"/>
        <v>-25.300000000000011</v>
      </c>
      <c r="H65" s="103">
        <f t="shared" si="32"/>
        <v>-30.099999999999994</v>
      </c>
      <c r="I65" s="103">
        <f t="shared" si="32"/>
        <v>-31.600000000000009</v>
      </c>
      <c r="J65" s="103">
        <f t="shared" si="32"/>
        <v>-34.900000000000006</v>
      </c>
      <c r="K65" s="103">
        <f t="shared" si="32"/>
        <v>-36</v>
      </c>
      <c r="L65" s="103">
        <f t="shared" si="32"/>
        <v>-36.1292154</v>
      </c>
      <c r="M65" s="103">
        <f t="shared" si="32"/>
        <v>-40.45529352334907</v>
      </c>
      <c r="N65" s="103">
        <f t="shared" si="32"/>
        <v>-47.195257615808771</v>
      </c>
      <c r="O65" s="103">
        <f t="shared" si="32"/>
        <v>-51.829543587564174</v>
      </c>
      <c r="P65" s="103">
        <f t="shared" si="32"/>
        <v>-54.799912142159172</v>
      </c>
      <c r="Q65" s="103">
        <f t="shared" ca="1" si="32"/>
        <v>-53.583371406544728</v>
      </c>
      <c r="R65" s="103">
        <f t="shared" ca="1" si="32"/>
        <v>-52.366775194672485</v>
      </c>
      <c r="S65" s="103">
        <f t="shared" ca="1" si="32"/>
        <v>-51.15012329902379</v>
      </c>
      <c r="T65" s="103">
        <f t="shared" ca="1" si="32"/>
        <v>-49.933429510083272</v>
      </c>
      <c r="U65" s="103">
        <f t="shared" ca="1" si="32"/>
        <v>-48.716714688264972</v>
      </c>
      <c r="V65" s="103">
        <f t="shared" ca="1" si="32"/>
        <v>-47.499999780309992</v>
      </c>
    </row>
    <row r="66" spans="3:22" ht="12.75" customHeight="1">
      <c r="C66" s="97" t="s">
        <v>82</v>
      </c>
      <c r="D66" s="98"/>
      <c r="E66" s="101"/>
      <c r="F66" s="102">
        <f t="shared" ref="F66:V66" si="33">+F65/F60</f>
        <v>-2.4795147387464082E-2</v>
      </c>
      <c r="G66" s="102">
        <f t="shared" si="33"/>
        <v>-2.5176634490994141E-2</v>
      </c>
      <c r="H66" s="102">
        <f t="shared" si="33"/>
        <v>-2.9466470876162502E-2</v>
      </c>
      <c r="I66" s="102">
        <f t="shared" si="33"/>
        <v>-2.8858447488584484E-2</v>
      </c>
      <c r="J66" s="102">
        <f t="shared" si="33"/>
        <v>-3.0746189763016483E-2</v>
      </c>
      <c r="K66" s="102">
        <f t="shared" si="33"/>
        <v>-3.1617776216406115E-2</v>
      </c>
      <c r="L66" s="102">
        <f t="shared" si="33"/>
        <v>-3.1437725457855663E-2</v>
      </c>
      <c r="M66" s="102">
        <f t="shared" si="33"/>
        <v>-3.6777539566680971E-2</v>
      </c>
      <c r="N66" s="102">
        <f t="shared" si="33"/>
        <v>-3.4860359237572046E-2</v>
      </c>
      <c r="O66" s="102">
        <f t="shared" si="33"/>
        <v>-3.5819227290854572E-2</v>
      </c>
      <c r="P66" s="102">
        <f t="shared" si="33"/>
        <v>-3.7986371391124568E-2</v>
      </c>
      <c r="Q66" s="102">
        <f t="shared" ca="1" si="33"/>
        <v>-3.6414790145071312E-2</v>
      </c>
      <c r="R66" s="102">
        <f t="shared" ca="1" si="33"/>
        <v>-3.4958744580283682E-2</v>
      </c>
      <c r="S66" s="102">
        <f t="shared" ca="1" si="33"/>
        <v>-3.3608797521863763E-2</v>
      </c>
      <c r="T66" s="102">
        <f t="shared" ca="1" si="33"/>
        <v>-3.2356365241971163E-2</v>
      </c>
      <c r="U66" s="102">
        <f t="shared" ca="1" si="33"/>
        <v>-3.1193622665068626E-2</v>
      </c>
      <c r="V66" s="102">
        <f t="shared" ca="1" si="33"/>
        <v>-3.0113418179120523E-2</v>
      </c>
    </row>
    <row r="67" spans="3:22" ht="12.75" customHeight="1">
      <c r="C67" s="97" t="s">
        <v>83</v>
      </c>
      <c r="D67" s="98"/>
      <c r="E67" s="101"/>
      <c r="F67" s="102">
        <f t="shared" ref="F67:V67" si="34">+F65/F72</f>
        <v>0.76644736842105254</v>
      </c>
      <c r="G67" s="102">
        <f t="shared" si="34"/>
        <v>0.67466666666666697</v>
      </c>
      <c r="H67" s="102">
        <f t="shared" si="34"/>
        <v>0.74689826302729523</v>
      </c>
      <c r="I67" s="102">
        <f t="shared" si="34"/>
        <v>0.87534626038781183</v>
      </c>
      <c r="J67" s="102">
        <f t="shared" si="34"/>
        <v>0.93565683646112618</v>
      </c>
      <c r="K67" s="102">
        <f t="shared" si="34"/>
        <v>1.1612903225806452</v>
      </c>
      <c r="L67" s="102">
        <f t="shared" si="34"/>
        <v>1.0035893166666667</v>
      </c>
      <c r="M67" s="102">
        <f t="shared" si="34"/>
        <v>0.79324104947743279</v>
      </c>
      <c r="N67" s="102">
        <f t="shared" si="34"/>
        <v>0.94390515231617544</v>
      </c>
      <c r="O67" s="102">
        <f t="shared" si="34"/>
        <v>1.0365908717512835</v>
      </c>
      <c r="P67" s="102">
        <f t="shared" si="34"/>
        <v>1.0959982428431834</v>
      </c>
      <c r="Q67" s="102">
        <f t="shared" ca="1" si="34"/>
        <v>1.0716674281308947</v>
      </c>
      <c r="R67" s="102">
        <f t="shared" ca="1" si="34"/>
        <v>1.0473355038934498</v>
      </c>
      <c r="S67" s="102">
        <f t="shared" ca="1" si="34"/>
        <v>1.0230024659804757</v>
      </c>
      <c r="T67" s="102">
        <f t="shared" ca="1" si="34"/>
        <v>0.99866859020166543</v>
      </c>
      <c r="U67" s="102">
        <f t="shared" ca="1" si="34"/>
        <v>0.97433429376529945</v>
      </c>
      <c r="V67" s="102">
        <f t="shared" ca="1" si="34"/>
        <v>0.94999999560619985</v>
      </c>
    </row>
    <row r="68" spans="3:22" ht="12.75" customHeight="1">
      <c r="C68" s="95" t="s">
        <v>69</v>
      </c>
      <c r="D68" s="95"/>
      <c r="E68" s="95"/>
      <c r="F68" s="96">
        <f t="shared" ref="F68:V68" si="35">F25</f>
        <v>77.8</v>
      </c>
      <c r="G68" s="96">
        <f t="shared" si="35"/>
        <v>84.6</v>
      </c>
      <c r="H68" s="96">
        <f t="shared" si="35"/>
        <v>84.5</v>
      </c>
      <c r="I68" s="96">
        <f t="shared" si="35"/>
        <v>77.099999999999994</v>
      </c>
      <c r="J68" s="96">
        <f t="shared" si="35"/>
        <v>74.599999999999994</v>
      </c>
      <c r="K68" s="96">
        <f t="shared" si="35"/>
        <v>62.2</v>
      </c>
      <c r="L68" s="96">
        <f t="shared" si="35"/>
        <v>58.017994262938196</v>
      </c>
      <c r="M68" s="96">
        <f t="shared" si="35"/>
        <v>-32.252889249967993</v>
      </c>
      <c r="N68" s="96">
        <f t="shared" si="35"/>
        <v>64.601478621383094</v>
      </c>
      <c r="O68" s="96">
        <f t="shared" si="35"/>
        <v>72.565397431637962</v>
      </c>
      <c r="P68" s="96">
        <f t="shared" si="35"/>
        <v>72.768217212764597</v>
      </c>
      <c r="Q68" s="96">
        <f t="shared" ca="1" si="35"/>
        <v>76.921639242324261</v>
      </c>
      <c r="R68" s="96">
        <f t="shared" ca="1" si="35"/>
        <v>80.879778234301511</v>
      </c>
      <c r="S68" s="96">
        <f t="shared" ca="1" si="35"/>
        <v>84.627102035210441</v>
      </c>
      <c r="T68" s="96">
        <f t="shared" ca="1" si="35"/>
        <v>88.148983039957002</v>
      </c>
      <c r="U68" s="96">
        <f t="shared" ca="1" si="35"/>
        <v>91.431843253510124</v>
      </c>
      <c r="V68" s="96">
        <f t="shared" ca="1" si="35"/>
        <v>94.463292071307222</v>
      </c>
    </row>
    <row r="69" spans="3:22" ht="12.75" customHeight="1">
      <c r="C69" s="97" t="s">
        <v>64</v>
      </c>
      <c r="D69" s="98"/>
      <c r="E69" s="99"/>
      <c r="F69" s="102" t="str">
        <f>IF(ISERROR(F68/C68-1),"n.a.",F68/C68-1)</f>
        <v>n.a.</v>
      </c>
      <c r="G69" s="102">
        <f t="shared" ref="G69:V69" si="36">IF(ISERROR(G68/F68-1),"n.a.",G68/F68-1)</f>
        <v>8.740359897172234E-2</v>
      </c>
      <c r="H69" s="102">
        <f t="shared" si="36"/>
        <v>-1.1820330969266601E-3</v>
      </c>
      <c r="I69" s="102">
        <f t="shared" si="36"/>
        <v>-8.7573964497041468E-2</v>
      </c>
      <c r="J69" s="102">
        <f t="shared" si="36"/>
        <v>-3.2425421530479892E-2</v>
      </c>
      <c r="K69" s="102">
        <f t="shared" si="36"/>
        <v>-0.16621983914209104</v>
      </c>
      <c r="L69" s="102">
        <f t="shared" si="36"/>
        <v>-6.7234818923823214E-2</v>
      </c>
      <c r="M69" s="102">
        <f t="shared" si="36"/>
        <v>-1.5559118280407547</v>
      </c>
      <c r="N69" s="102">
        <f t="shared" si="36"/>
        <v>-3.0029671797991617</v>
      </c>
      <c r="O69" s="102">
        <f t="shared" si="36"/>
        <v>0.12327765525197765</v>
      </c>
      <c r="P69" s="102">
        <f t="shared" si="36"/>
        <v>2.7949930449662208E-3</v>
      </c>
      <c r="Q69" s="102">
        <f t="shared" ca="1" si="36"/>
        <v>5.7077419080030722E-2</v>
      </c>
      <c r="R69" s="102">
        <f t="shared" ca="1" si="36"/>
        <v>5.1456768614980053E-2</v>
      </c>
      <c r="S69" s="102">
        <f t="shared" ca="1" si="36"/>
        <v>4.6332023686480373E-2</v>
      </c>
      <c r="T69" s="102">
        <f t="shared" ca="1" si="36"/>
        <v>4.1616467066085017E-2</v>
      </c>
      <c r="U69" s="102">
        <f t="shared" ca="1" si="36"/>
        <v>3.7242179096553363E-2</v>
      </c>
      <c r="V69" s="102">
        <f t="shared" ca="1" si="36"/>
        <v>3.3155284963378717E-2</v>
      </c>
    </row>
    <row r="70" spans="3:22" ht="12.75" customHeight="1">
      <c r="C70" s="97" t="s">
        <v>68</v>
      </c>
      <c r="D70" s="98"/>
      <c r="E70" s="101"/>
      <c r="F70" s="104">
        <f t="shared" ref="F70:V70" si="37">F68/F$60</f>
        <v>8.2792380546983069E-2</v>
      </c>
      <c r="G70" s="104">
        <f t="shared" si="37"/>
        <v>8.4187481341427006E-2</v>
      </c>
      <c r="H70" s="104">
        <f t="shared" si="37"/>
        <v>8.272148800783162E-2</v>
      </c>
      <c r="I70" s="104">
        <f t="shared" si="37"/>
        <v>7.0410958904109588E-2</v>
      </c>
      <c r="J70" s="104">
        <f t="shared" si="37"/>
        <v>6.5721081843009427E-2</v>
      </c>
      <c r="K70" s="104">
        <f t="shared" si="37"/>
        <v>5.4628491129457238E-2</v>
      </c>
      <c r="L70" s="104">
        <f t="shared" si="37"/>
        <v>5.0484178941059873E-2</v>
      </c>
      <c r="M70" s="104">
        <f t="shared" si="37"/>
        <v>-2.9320808409061812E-2</v>
      </c>
      <c r="N70" s="104">
        <f t="shared" si="37"/>
        <v>4.7717310293172194E-2</v>
      </c>
      <c r="O70" s="104">
        <f t="shared" si="37"/>
        <v>5.01497077562282E-2</v>
      </c>
      <c r="P70" s="104">
        <f t="shared" si="37"/>
        <v>5.0441696281252238E-2</v>
      </c>
      <c r="Q70" s="104">
        <f t="shared" ca="1" si="37"/>
        <v>5.2275272665691069E-2</v>
      </c>
      <c r="R70" s="104">
        <f t="shared" ca="1" si="37"/>
        <v>5.3993309660408197E-2</v>
      </c>
      <c r="S70" s="104">
        <f t="shared" ca="1" si="37"/>
        <v>5.5605244987117657E-2</v>
      </c>
      <c r="T70" s="104">
        <f t="shared" ca="1" si="37"/>
        <v>5.7119663498643072E-2</v>
      </c>
      <c r="U70" s="104">
        <f t="shared" ca="1" si="37"/>
        <v>5.8544391514740529E-2</v>
      </c>
      <c r="V70" s="104">
        <f t="shared" ca="1" si="37"/>
        <v>5.9886581681603324E-2</v>
      </c>
    </row>
    <row r="71" spans="3:22" ht="12.75" customHeight="1">
      <c r="C71" s="98" t="s">
        <v>63</v>
      </c>
      <c r="D71" s="98"/>
      <c r="E71" s="98"/>
      <c r="F71" s="103">
        <f t="shared" ref="F71:V71" si="38">F15</f>
        <v>101.1</v>
      </c>
      <c r="G71" s="103">
        <f t="shared" si="38"/>
        <v>109.9</v>
      </c>
      <c r="H71" s="103">
        <f t="shared" si="38"/>
        <v>114.6</v>
      </c>
      <c r="I71" s="103">
        <f t="shared" si="38"/>
        <v>108.7</v>
      </c>
      <c r="J71" s="103">
        <f t="shared" si="38"/>
        <v>109.5</v>
      </c>
      <c r="K71" s="103">
        <f t="shared" si="38"/>
        <v>98.2</v>
      </c>
      <c r="L71" s="103">
        <f t="shared" si="38"/>
        <v>94.147209662938195</v>
      </c>
      <c r="M71" s="103">
        <f t="shared" si="38"/>
        <v>8.2024042733810774</v>
      </c>
      <c r="N71" s="103">
        <f t="shared" si="38"/>
        <v>111.79673623719187</v>
      </c>
      <c r="O71" s="103">
        <f t="shared" si="38"/>
        <v>124.39494101920214</v>
      </c>
      <c r="P71" s="103">
        <f t="shared" si="38"/>
        <v>127.56812935492377</v>
      </c>
      <c r="Q71" s="103">
        <f t="shared" ca="1" si="38"/>
        <v>130.50497670037939</v>
      </c>
      <c r="R71" s="103">
        <f t="shared" ca="1" si="38"/>
        <v>133.24650233845801</v>
      </c>
      <c r="S71" s="103">
        <f t="shared" ca="1" si="38"/>
        <v>135.77717411567374</v>
      </c>
      <c r="T71" s="103">
        <f t="shared" ca="1" si="38"/>
        <v>138.08237409438118</v>
      </c>
      <c r="U71" s="103">
        <f t="shared" ca="1" si="38"/>
        <v>140.14853878072222</v>
      </c>
      <c r="V71" s="103">
        <f t="shared" ca="1" si="38"/>
        <v>141.96329207130722</v>
      </c>
    </row>
    <row r="72" spans="3:22" ht="12.75" customHeight="1">
      <c r="C72" s="95" t="s">
        <v>23</v>
      </c>
      <c r="D72" s="95"/>
      <c r="E72" s="105"/>
      <c r="F72" s="96">
        <f t="shared" ref="F72:V72" si="39">F40</f>
        <v>-30.4</v>
      </c>
      <c r="G72" s="96">
        <f t="shared" si="39"/>
        <v>-37.5</v>
      </c>
      <c r="H72" s="96">
        <f t="shared" si="39"/>
        <v>-40.299999999999997</v>
      </c>
      <c r="I72" s="96">
        <f t="shared" si="39"/>
        <v>-36.1</v>
      </c>
      <c r="J72" s="96">
        <f t="shared" si="39"/>
        <v>-37.299999999999997</v>
      </c>
      <c r="K72" s="96">
        <f t="shared" si="39"/>
        <v>-31</v>
      </c>
      <c r="L72" s="96">
        <f t="shared" si="39"/>
        <v>-36</v>
      </c>
      <c r="M72" s="96">
        <f t="shared" si="39"/>
        <v>-51</v>
      </c>
      <c r="N72" s="96">
        <f t="shared" si="39"/>
        <v>-50</v>
      </c>
      <c r="O72" s="96">
        <f t="shared" si="39"/>
        <v>-50</v>
      </c>
      <c r="P72" s="96">
        <f t="shared" si="39"/>
        <v>-50</v>
      </c>
      <c r="Q72" s="96">
        <f t="shared" si="39"/>
        <v>-50</v>
      </c>
      <c r="R72" s="96">
        <f t="shared" si="39"/>
        <v>-50</v>
      </c>
      <c r="S72" s="96">
        <f t="shared" si="39"/>
        <v>-50</v>
      </c>
      <c r="T72" s="96">
        <f t="shared" si="39"/>
        <v>-50</v>
      </c>
      <c r="U72" s="96">
        <f t="shared" si="39"/>
        <v>-50</v>
      </c>
      <c r="V72" s="96">
        <f t="shared" si="39"/>
        <v>-50</v>
      </c>
    </row>
    <row r="73" spans="3:22" ht="12.75" customHeight="1">
      <c r="C73" s="97" t="s">
        <v>84</v>
      </c>
      <c r="D73" s="98"/>
      <c r="E73" s="99"/>
      <c r="F73" s="100">
        <f t="shared" ref="F73:V73" si="40">IF(ISERROR(-F72/F$60),"n.a.",-F72/F$60)</f>
        <v>3.2350750239438113E-2</v>
      </c>
      <c r="G73" s="100">
        <f t="shared" si="40"/>
        <v>3.7317145984675094E-2</v>
      </c>
      <c r="H73" s="100">
        <f t="shared" si="40"/>
        <v>3.9451786588350461E-2</v>
      </c>
      <c r="I73" s="100">
        <f t="shared" si="40"/>
        <v>3.2968036529680368E-2</v>
      </c>
      <c r="J73" s="100">
        <f t="shared" si="40"/>
        <v>3.2860540921504713E-2</v>
      </c>
      <c r="K73" s="100">
        <f t="shared" si="40"/>
        <v>2.7226418408571932E-2</v>
      </c>
      <c r="L73" s="100">
        <f t="shared" si="40"/>
        <v>3.1325289075688149E-2</v>
      </c>
      <c r="M73" s="100">
        <f t="shared" si="40"/>
        <v>4.6363636363636364E-2</v>
      </c>
      <c r="N73" s="100">
        <f t="shared" si="40"/>
        <v>3.6932057370415793E-2</v>
      </c>
      <c r="O73" s="100">
        <f t="shared" si="40"/>
        <v>3.4554835728332484E-2</v>
      </c>
      <c r="P73" s="100">
        <f t="shared" si="40"/>
        <v>3.4659153551726725E-2</v>
      </c>
      <c r="Q73" s="100">
        <f t="shared" si="40"/>
        <v>3.3979562305614434E-2</v>
      </c>
      <c r="R73" s="100">
        <f t="shared" ca="1" si="40"/>
        <v>3.3378744872416925E-2</v>
      </c>
      <c r="S73" s="100">
        <f t="shared" ca="1" si="40"/>
        <v>3.2853095314537784E-2</v>
      </c>
      <c r="T73" s="100">
        <f t="shared" ca="1" si="40"/>
        <v>3.2399502256736941E-2</v>
      </c>
      <c r="U73" s="100">
        <f t="shared" ca="1" si="40"/>
        <v>3.201531842271646E-2</v>
      </c>
      <c r="V73" s="100">
        <f t="shared" ca="1" si="40"/>
        <v>3.16983350719965E-2</v>
      </c>
    </row>
    <row r="74" spans="3:22" ht="12.75" customHeight="1">
      <c r="C74" s="98" t="s">
        <v>85</v>
      </c>
      <c r="D74" s="98"/>
      <c r="E74" s="99"/>
      <c r="F74" s="103">
        <f t="shared" ref="F74:V74" si="41">F45</f>
        <v>-5.3000000000000007</v>
      </c>
      <c r="G74" s="103">
        <f t="shared" si="41"/>
        <v>25.099999999999998</v>
      </c>
      <c r="H74" s="103">
        <f t="shared" si="41"/>
        <v>-11.2</v>
      </c>
      <c r="I74" s="103">
        <f t="shared" si="41"/>
        <v>-16.300000000000004</v>
      </c>
      <c r="J74" s="103">
        <f t="shared" si="41"/>
        <v>-12.6</v>
      </c>
      <c r="K74" s="103">
        <f t="shared" si="41"/>
        <v>-10.399999999999999</v>
      </c>
      <c r="L74" s="103">
        <f t="shared" si="41"/>
        <v>6</v>
      </c>
      <c r="M74" s="103">
        <f t="shared" si="41"/>
        <v>16.1119544409034</v>
      </c>
      <c r="N74" s="103">
        <f t="shared" si="41"/>
        <v>15.1688926668047</v>
      </c>
      <c r="O74" s="103">
        <f t="shared" si="41"/>
        <v>11.1102169006686</v>
      </c>
      <c r="P74" s="103">
        <f t="shared" si="41"/>
        <v>3.9548595532390398</v>
      </c>
      <c r="Q74" s="103">
        <f t="shared" si="41"/>
        <v>0</v>
      </c>
      <c r="R74" s="103">
        <f t="shared" ca="1" si="41"/>
        <v>0</v>
      </c>
      <c r="S74" s="103">
        <f t="shared" ca="1" si="41"/>
        <v>0</v>
      </c>
      <c r="T74" s="103">
        <f t="shared" ca="1" si="41"/>
        <v>0</v>
      </c>
      <c r="U74" s="103">
        <f t="shared" ca="1" si="41"/>
        <v>0</v>
      </c>
      <c r="V74" s="103">
        <f t="shared" ca="1" si="41"/>
        <v>0</v>
      </c>
    </row>
    <row r="75" spans="3:22" ht="12.75" customHeight="1">
      <c r="C75" s="97" t="s">
        <v>84</v>
      </c>
      <c r="D75" s="98"/>
      <c r="E75" s="99"/>
      <c r="F75" s="102">
        <f t="shared" ref="F75:V75" si="42">+F74/F60</f>
        <v>-5.6400979035862511E-3</v>
      </c>
      <c r="G75" s="102">
        <f t="shared" si="42"/>
        <v>2.4977609712409192E-2</v>
      </c>
      <c r="H75" s="102">
        <f t="shared" si="42"/>
        <v>-1.0964268232990699E-2</v>
      </c>
      <c r="I75" s="102">
        <f t="shared" si="42"/>
        <v>-1.4885844748858451E-2</v>
      </c>
      <c r="J75" s="102">
        <f t="shared" si="42"/>
        <v>-1.1100343582063256E-2</v>
      </c>
      <c r="K75" s="102">
        <f t="shared" si="42"/>
        <v>-9.1340242402950991E-3</v>
      </c>
      <c r="L75" s="102">
        <f t="shared" si="42"/>
        <v>5.2208815126146913E-3</v>
      </c>
      <c r="M75" s="102">
        <f t="shared" si="42"/>
        <v>1.4647231309912181E-2</v>
      </c>
      <c r="N75" s="102">
        <f t="shared" si="42"/>
        <v>1.1204368284322211E-2</v>
      </c>
      <c r="O75" s="102">
        <f t="shared" si="42"/>
        <v>7.6782343981749357E-3</v>
      </c>
      <c r="P75" s="102">
        <f t="shared" si="42"/>
        <v>2.7414416906245045E-3</v>
      </c>
      <c r="Q75" s="102">
        <f t="shared" si="42"/>
        <v>0</v>
      </c>
      <c r="R75" s="102">
        <f t="shared" ca="1" si="42"/>
        <v>0</v>
      </c>
      <c r="S75" s="102">
        <f t="shared" ca="1" si="42"/>
        <v>0</v>
      </c>
      <c r="T75" s="102">
        <f t="shared" ca="1" si="42"/>
        <v>0</v>
      </c>
      <c r="U75" s="102">
        <f t="shared" ca="1" si="42"/>
        <v>0</v>
      </c>
      <c r="V75" s="102">
        <f t="shared" ca="1" si="42"/>
        <v>0</v>
      </c>
    </row>
    <row r="76" spans="3:22" ht="12.75" customHeight="1">
      <c r="C76" s="106" t="s">
        <v>77</v>
      </c>
      <c r="D76" s="98"/>
      <c r="E76" s="99"/>
      <c r="F76" s="103">
        <f t="shared" ref="F76:V76" si="43">+F49</f>
        <v>0</v>
      </c>
      <c r="G76" s="103">
        <f t="shared" si="43"/>
        <v>0</v>
      </c>
      <c r="H76" s="103">
        <f t="shared" si="43"/>
        <v>0</v>
      </c>
      <c r="I76" s="103">
        <f t="shared" si="43"/>
        <v>0</v>
      </c>
      <c r="J76" s="103">
        <f t="shared" si="43"/>
        <v>-1.5</v>
      </c>
      <c r="K76" s="103">
        <f t="shared" si="43"/>
        <v>0.74</v>
      </c>
      <c r="L76" s="103">
        <f t="shared" si="43"/>
        <v>0</v>
      </c>
      <c r="M76" s="103">
        <f t="shared" si="43"/>
        <v>0</v>
      </c>
      <c r="N76" s="103">
        <f t="shared" si="43"/>
        <v>-5</v>
      </c>
      <c r="O76" s="103">
        <f t="shared" si="43"/>
        <v>-5</v>
      </c>
      <c r="P76" s="103">
        <f t="shared" si="43"/>
        <v>-5</v>
      </c>
      <c r="Q76" s="103">
        <f t="shared" si="43"/>
        <v>-5</v>
      </c>
      <c r="R76" s="103">
        <f t="shared" si="43"/>
        <v>-5</v>
      </c>
      <c r="S76" s="103">
        <f t="shared" si="43"/>
        <v>-5</v>
      </c>
      <c r="T76" s="103">
        <f t="shared" si="43"/>
        <v>-5</v>
      </c>
      <c r="U76" s="103">
        <f t="shared" si="43"/>
        <v>-5</v>
      </c>
      <c r="V76" s="103">
        <f t="shared" si="43"/>
        <v>-5</v>
      </c>
    </row>
    <row r="77" spans="3:22" ht="12.75" customHeight="1">
      <c r="C77" s="97" t="s">
        <v>84</v>
      </c>
      <c r="D77" s="98"/>
      <c r="E77" s="99"/>
      <c r="F77" s="100">
        <f t="shared" ref="F77:V77" si="44">IF(ISERROR(-F76/F$60),"n.a.",-F76/F$60)</f>
        <v>0</v>
      </c>
      <c r="G77" s="100">
        <f t="shared" si="44"/>
        <v>0</v>
      </c>
      <c r="H77" s="100">
        <f t="shared" si="44"/>
        <v>0</v>
      </c>
      <c r="I77" s="100">
        <f t="shared" si="44"/>
        <v>0</v>
      </c>
      <c r="J77" s="100">
        <f t="shared" si="44"/>
        <v>1.3214694740551493E-3</v>
      </c>
      <c r="K77" s="100">
        <f t="shared" si="44"/>
        <v>-6.4992095555945904E-4</v>
      </c>
      <c r="L77" s="100">
        <f t="shared" si="44"/>
        <v>0</v>
      </c>
      <c r="M77" s="100">
        <f t="shared" si="44"/>
        <v>0</v>
      </c>
      <c r="N77" s="100">
        <f t="shared" si="44"/>
        <v>3.6932057370415794E-3</v>
      </c>
      <c r="O77" s="100">
        <f t="shared" si="44"/>
        <v>3.4554835728332488E-3</v>
      </c>
      <c r="P77" s="100">
        <f t="shared" si="44"/>
        <v>3.4659153551726725E-3</v>
      </c>
      <c r="Q77" s="100">
        <f t="shared" si="44"/>
        <v>3.3979562305614434E-3</v>
      </c>
      <c r="R77" s="100">
        <f t="shared" ca="1" si="44"/>
        <v>3.3378744872416925E-3</v>
      </c>
      <c r="S77" s="100">
        <f t="shared" ca="1" si="44"/>
        <v>3.2853095314537783E-3</v>
      </c>
      <c r="T77" s="100">
        <f t="shared" ca="1" si="44"/>
        <v>3.2399502256736943E-3</v>
      </c>
      <c r="U77" s="100">
        <f t="shared" ca="1" si="44"/>
        <v>3.2015318422716462E-3</v>
      </c>
      <c r="V77" s="100">
        <f t="shared" ca="1" si="44"/>
        <v>3.1698335071996498E-3</v>
      </c>
    </row>
    <row r="78" spans="3:22" ht="12.75" customHeight="1">
      <c r="C78" s="106" t="s">
        <v>78</v>
      </c>
      <c r="D78" s="98"/>
      <c r="E78" s="99"/>
      <c r="F78" s="103">
        <f t="shared" ref="F78:V78" si="45">+F53</f>
        <v>0</v>
      </c>
      <c r="G78" s="103">
        <f t="shared" si="45"/>
        <v>0</v>
      </c>
      <c r="H78" s="103">
        <f t="shared" si="45"/>
        <v>0</v>
      </c>
      <c r="I78" s="103">
        <f t="shared" si="45"/>
        <v>0</v>
      </c>
      <c r="J78" s="103">
        <f t="shared" si="45"/>
        <v>0</v>
      </c>
      <c r="K78" s="103">
        <f t="shared" si="45"/>
        <v>0</v>
      </c>
      <c r="L78" s="103">
        <f t="shared" si="45"/>
        <v>0</v>
      </c>
      <c r="M78" s="103">
        <f t="shared" si="45"/>
        <v>-18.004468664734802</v>
      </c>
      <c r="N78" s="103">
        <f t="shared" si="45"/>
        <v>-6.7527180429793701</v>
      </c>
      <c r="O78" s="103">
        <f t="shared" si="45"/>
        <v>25.138454026318879</v>
      </c>
      <c r="P78" s="103">
        <f t="shared" si="45"/>
        <v>-4.8650405710493096</v>
      </c>
      <c r="Q78" s="103">
        <f t="shared" si="45"/>
        <v>0</v>
      </c>
      <c r="R78" s="103">
        <f t="shared" si="45"/>
        <v>0</v>
      </c>
      <c r="S78" s="103">
        <f t="shared" si="45"/>
        <v>0</v>
      </c>
      <c r="T78" s="103">
        <f t="shared" si="45"/>
        <v>0</v>
      </c>
      <c r="U78" s="103">
        <f t="shared" si="45"/>
        <v>0</v>
      </c>
      <c r="V78" s="103">
        <f t="shared" si="45"/>
        <v>0</v>
      </c>
    </row>
    <row r="79" spans="3:22" ht="12.75" customHeight="1">
      <c r="C79" s="107" t="s">
        <v>84</v>
      </c>
      <c r="D79" s="108"/>
      <c r="E79" s="109"/>
      <c r="F79" s="110">
        <f t="shared" ref="F79:V79" si="46">IF(ISERROR(-F78/F$60),"n.a.",-F78/F$60)</f>
        <v>0</v>
      </c>
      <c r="G79" s="110">
        <f t="shared" si="46"/>
        <v>0</v>
      </c>
      <c r="H79" s="110">
        <f t="shared" si="46"/>
        <v>0</v>
      </c>
      <c r="I79" s="110">
        <f t="shared" si="46"/>
        <v>0</v>
      </c>
      <c r="J79" s="110">
        <f t="shared" si="46"/>
        <v>0</v>
      </c>
      <c r="K79" s="110">
        <f t="shared" si="46"/>
        <v>0</v>
      </c>
      <c r="L79" s="110">
        <f t="shared" si="46"/>
        <v>0</v>
      </c>
      <c r="M79" s="110">
        <f t="shared" si="46"/>
        <v>1.6367698786122546E-2</v>
      </c>
      <c r="N79" s="110">
        <f t="shared" si="46"/>
        <v>4.9878354033911186E-3</v>
      </c>
      <c r="O79" s="110">
        <f t="shared" si="46"/>
        <v>-1.7373102986873744E-2</v>
      </c>
      <c r="P79" s="110">
        <f t="shared" si="46"/>
        <v>3.3723637637475658E-3</v>
      </c>
      <c r="Q79" s="110">
        <f t="shared" si="46"/>
        <v>0</v>
      </c>
      <c r="R79" s="110">
        <f t="shared" ca="1" si="46"/>
        <v>0</v>
      </c>
      <c r="S79" s="110">
        <f t="shared" ca="1" si="46"/>
        <v>0</v>
      </c>
      <c r="T79" s="110">
        <f t="shared" ca="1" si="46"/>
        <v>0</v>
      </c>
      <c r="U79" s="110">
        <f t="shared" ca="1" si="46"/>
        <v>0</v>
      </c>
      <c r="V79" s="110">
        <f t="shared" ca="1" si="46"/>
        <v>0</v>
      </c>
    </row>
    <row r="80" spans="3:22" ht="4.5" customHeight="1">
      <c r="C80" s="111"/>
      <c r="E80" s="77"/>
      <c r="F80" s="77"/>
      <c r="G80" s="77"/>
      <c r="H80" s="77"/>
      <c r="I80" s="77"/>
      <c r="J80" s="77"/>
      <c r="K80" s="77"/>
      <c r="L80" s="77"/>
      <c r="M80" s="77"/>
      <c r="N80" s="77"/>
    </row>
    <row r="85" spans="12:12" ht="12.75" customHeight="1">
      <c r="L85" s="59"/>
    </row>
    <row r="92" spans="12:12" ht="12.75" customHeight="1">
      <c r="L92" s="59"/>
    </row>
  </sheetData>
  <mergeCells count="3">
    <mergeCell ref="L7:P7"/>
    <mergeCell ref="F7:K7"/>
    <mergeCell ref="Q7:V7"/>
  </mergeCells>
  <pageMargins left="0.70833333333333304" right="0.70833333333333304" top="0.74791666666666701" bottom="0.74791666666666701" header="0.511811023622047" footer="0.511811023622047"/>
  <pageSetup paperSize="9" scale="24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8ED5"/>
  </sheetPr>
  <dimension ref="C2:U127"/>
  <sheetViews>
    <sheetView showGridLines="0" zoomScaleNormal="100" workbookViewId="0">
      <selection activeCell="F8" sqref="F8"/>
    </sheetView>
  </sheetViews>
  <sheetFormatPr defaultColWidth="9.109375" defaultRowHeight="13.2"/>
  <cols>
    <col min="1" max="1" width="3" customWidth="1"/>
    <col min="2" max="3" width="0.44140625" customWidth="1"/>
    <col min="4" max="4" width="11.33203125" customWidth="1"/>
    <col min="5" max="20" width="14.33203125" customWidth="1"/>
    <col min="21" max="21" width="2.88671875" customWidth="1"/>
    <col min="22" max="22" width="9.109375" customWidth="1"/>
  </cols>
  <sheetData>
    <row r="2" spans="4:21" s="44" customFormat="1" ht="12" customHeight="1">
      <c r="D2" s="46"/>
    </row>
    <row r="3" spans="4:21" ht="20.25" customHeight="1">
      <c r="D3" s="112" t="s">
        <v>86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</row>
    <row r="4" spans="4:21" s="44" customFormat="1" ht="4.5" customHeight="1"/>
    <row r="5" spans="4:21" ht="12.75" customHeight="1">
      <c r="D5" s="12" t="s">
        <v>43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4:21" ht="4.5" customHeight="1"/>
    <row r="7" spans="4:21" ht="12.75" customHeight="1">
      <c r="D7" t="s">
        <v>45</v>
      </c>
      <c r="F7" s="114">
        <f>Assumptions!D12</f>
        <v>43921</v>
      </c>
      <c r="S7" s="115"/>
      <c r="T7" s="115"/>
    </row>
    <row r="8" spans="4:21" ht="12.75" customHeight="1">
      <c r="D8" t="s">
        <v>87</v>
      </c>
      <c r="F8" s="116">
        <f>EDATE(F7,12)</f>
        <v>44286</v>
      </c>
      <c r="S8" s="115"/>
      <c r="T8" s="115"/>
    </row>
    <row r="9" spans="4:21" ht="12.75" customHeight="1">
      <c r="D9" t="s">
        <v>88</v>
      </c>
      <c r="F9" s="117">
        <v>5.0000000000000001E-3</v>
      </c>
      <c r="S9" s="115"/>
      <c r="T9" s="115"/>
    </row>
    <row r="10" spans="4:21" ht="12.75" customHeight="1">
      <c r="D10" t="s">
        <v>89</v>
      </c>
      <c r="F10" s="118">
        <v>8.5</v>
      </c>
      <c r="S10" s="115"/>
      <c r="T10" s="115"/>
    </row>
    <row r="11" spans="4:21" ht="12.75" customHeight="1">
      <c r="D11" t="s">
        <v>90</v>
      </c>
      <c r="F11" s="117">
        <v>8.5000000000000006E-2</v>
      </c>
    </row>
    <row r="12" spans="4:21" ht="12.75" customHeight="1">
      <c r="F12" s="119"/>
    </row>
    <row r="13" spans="4:21" ht="12.75" customHeight="1"/>
    <row r="14" spans="4:21" ht="12.75" customHeight="1">
      <c r="D14" s="120" t="s">
        <v>91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</row>
    <row r="15" spans="4:21" ht="4.5" customHeight="1"/>
    <row r="16" spans="4:21" s="121" customFormat="1" ht="12.75" customHeight="1"/>
    <row r="17" spans="3:21" s="121" customFormat="1" ht="12.75" customHeight="1">
      <c r="C17" s="121" t="s">
        <v>92</v>
      </c>
      <c r="G17" s="122">
        <f t="shared" ref="G17:S17" si="0">G22-$F$7</f>
        <v>-42821</v>
      </c>
      <c r="H17" s="122">
        <f t="shared" si="0"/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si="0"/>
        <v>3652</v>
      </c>
      <c r="T17" s="122"/>
      <c r="U17" s="44"/>
    </row>
    <row r="18" spans="3:21" s="121" customFormat="1" ht="12.75" customHeight="1">
      <c r="C18" s="121" t="s">
        <v>93</v>
      </c>
      <c r="G18" s="81">
        <f t="shared" ref="G18:S18" si="1">IF(G17&lt;0,100%,IF(G17&gt;365.25,0,1-((G22-$F$7)/365.25)))</f>
        <v>1</v>
      </c>
      <c r="H18" s="81">
        <f t="shared" si="1"/>
        <v>1</v>
      </c>
      <c r="I18" s="44">
        <f t="shared" si="1"/>
        <v>1</v>
      </c>
      <c r="J18" s="123">
        <f t="shared" si="1"/>
        <v>6.8446269678301697E-4</v>
      </c>
      <c r="K18" s="44">
        <f t="shared" si="1"/>
        <v>0</v>
      </c>
      <c r="L18" s="44">
        <f t="shared" si="1"/>
        <v>0</v>
      </c>
      <c r="M18" s="44">
        <f t="shared" si="1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/>
      <c r="U18" s="44"/>
    </row>
    <row r="19" spans="3:21" s="121" customFormat="1" ht="12.75" customHeight="1"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3:21" ht="12.75" customHeight="1">
      <c r="D20" s="44"/>
      <c r="F20" s="124" t="s">
        <v>57</v>
      </c>
      <c r="G20" s="124"/>
      <c r="H20" s="124"/>
      <c r="I20" s="92" t="s">
        <v>94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125"/>
    </row>
    <row r="21" spans="3:21" ht="4.5" customHeight="1"/>
    <row r="22" spans="3:21" ht="12.75" customHeight="1">
      <c r="D22" s="60" t="str">
        <f>TEXT(Assumptions!$D$11,"mmmm")&amp;" YE ($mm)"</f>
        <v>March YE ($mm)</v>
      </c>
      <c r="E22" s="60"/>
      <c r="F22" s="61">
        <f>' Financials'!I58</f>
        <v>42825</v>
      </c>
      <c r="G22" s="61">
        <f>'Company fin forecasts'!C5</f>
        <v>1100</v>
      </c>
      <c r="H22" s="126">
        <f>' Financials'!K58</f>
        <v>43555</v>
      </c>
      <c r="I22" s="63">
        <f>' Financials'!L58</f>
        <v>43921</v>
      </c>
      <c r="J22" s="63">
        <f>' Financials'!M58</f>
        <v>44286</v>
      </c>
      <c r="K22" s="63">
        <f>' Financials'!N58</f>
        <v>44651</v>
      </c>
      <c r="L22" s="63">
        <f>' Financials'!O58</f>
        <v>45016</v>
      </c>
      <c r="M22" s="63">
        <f>' Financials'!P58</f>
        <v>45382</v>
      </c>
      <c r="N22" s="63">
        <f>' Financials'!Q58</f>
        <v>45747</v>
      </c>
      <c r="O22" s="63">
        <f>' Financials'!R58</f>
        <v>46112</v>
      </c>
      <c r="P22" s="63">
        <f>' Financials'!S58</f>
        <v>46477</v>
      </c>
      <c r="Q22" s="63">
        <f>' Financials'!T58</f>
        <v>46843</v>
      </c>
      <c r="R22" s="63">
        <f>' Financials'!U58</f>
        <v>47208</v>
      </c>
      <c r="S22" s="63">
        <f>' Financials'!V58</f>
        <v>47573</v>
      </c>
      <c r="T22" s="63"/>
      <c r="U22" s="127"/>
    </row>
    <row r="23" spans="3:21" s="128" customFormat="1" ht="12.75" customHeight="1">
      <c r="H23" s="129"/>
    </row>
    <row r="24" spans="3:21" ht="12.75" customHeight="1">
      <c r="D24" t="s">
        <v>7</v>
      </c>
      <c r="F24" s="68">
        <f>' Financials'!I60</f>
        <v>1095</v>
      </c>
      <c r="G24" s="68">
        <f>' Financials'!J60</f>
        <v>1135.0999999999999</v>
      </c>
      <c r="H24" s="130">
        <f>' Financials'!K60</f>
        <v>1138.5999999999999</v>
      </c>
      <c r="I24" s="68">
        <f>' Financials'!L60</f>
        <v>1149.23121421216</v>
      </c>
      <c r="J24" s="68">
        <f>' Financials'!M60</f>
        <v>1100</v>
      </c>
      <c r="K24" s="68">
        <f>' Financials'!N60</f>
        <v>1353.8373857301599</v>
      </c>
      <c r="L24" s="68">
        <f>' Financials'!O60</f>
        <v>1446.9754795854401</v>
      </c>
      <c r="M24" s="68">
        <f>' Financials'!P60</f>
        <v>1442.6203434362001</v>
      </c>
      <c r="N24" s="68">
        <f>' Financials'!Q60</f>
        <v>1471.4727503049241</v>
      </c>
      <c r="O24" s="68">
        <f ca="1">' Financials'!R60</f>
        <v>1497.9592609342935</v>
      </c>
      <c r="P24" s="68">
        <f ca="1">' Financials'!S60</f>
        <v>1521.9266106069026</v>
      </c>
      <c r="Q24" s="68">
        <f ca="1">' Financials'!T60</f>
        <v>1543.2335843864182</v>
      </c>
      <c r="R24" s="68">
        <f ca="1">' Financials'!U60</f>
        <v>1561.7523880231818</v>
      </c>
      <c r="S24" s="68">
        <f ca="1">' Financials'!V60</f>
        <v>1577.3699119034136</v>
      </c>
      <c r="T24" s="68"/>
    </row>
    <row r="25" spans="3:21" ht="12.75" customHeight="1">
      <c r="C25" s="128"/>
      <c r="D25" s="128" t="s">
        <v>64</v>
      </c>
      <c r="E25" s="128"/>
      <c r="F25" s="128"/>
      <c r="G25" s="131">
        <f>'Company fin forecasts'!C20</f>
        <v>-9.8020643913537242</v>
      </c>
      <c r="H25" s="132">
        <f>IF(ISERROR(H24/G24-1),"n.a.",(H24/G24-1))</f>
        <v>3.0834287727954379E-3</v>
      </c>
      <c r="I25" s="133">
        <f>IF(ISERROR(I24/G24-1),"n.a.",(I24/G24-1))</f>
        <v>1.244931214180256E-2</v>
      </c>
      <c r="J25" s="133">
        <f t="shared" ref="J25:S25" si="2">IF(ISERROR(J24/I24-1),"n.a.",(J24/I24-1))</f>
        <v>-4.2838389353973327E-2</v>
      </c>
      <c r="K25" s="133">
        <f t="shared" si="2"/>
        <v>0.23076125975469086</v>
      </c>
      <c r="L25" s="133">
        <f t="shared" si="2"/>
        <v>6.8795628512687612E-2</v>
      </c>
      <c r="M25" s="133">
        <f t="shared" si="2"/>
        <v>-3.0098202842302468E-3</v>
      </c>
      <c r="N25" s="133">
        <f t="shared" si="2"/>
        <v>2.0000000000000018E-2</v>
      </c>
      <c r="O25" s="133">
        <f t="shared" ca="1" si="2"/>
        <v>1.80000007637795E-2</v>
      </c>
      <c r="P25" s="133">
        <f t="shared" ca="1" si="2"/>
        <v>1.6000000999800479E-2</v>
      </c>
      <c r="Q25" s="133">
        <f t="shared" ca="1" si="2"/>
        <v>1.4000000808855662E-2</v>
      </c>
      <c r="R25" s="133">
        <f t="shared" ca="1" si="2"/>
        <v>1.2000000404427835E-2</v>
      </c>
      <c r="S25" s="133">
        <f t="shared" ca="1" si="2"/>
        <v>1.0000000000000009E-2</v>
      </c>
      <c r="T25" s="133"/>
    </row>
    <row r="26" spans="3:21" s="128" customFormat="1" ht="12.75" customHeight="1">
      <c r="H26" s="129"/>
    </row>
    <row r="27" spans="3:21" s="128" customFormat="1" ht="12.75" customHeight="1">
      <c r="D27" s="128" t="s">
        <v>63</v>
      </c>
      <c r="F27" s="68">
        <f>+' Financials'!I62</f>
        <v>108.7</v>
      </c>
      <c r="G27" s="68">
        <f>+' Financials'!J62</f>
        <v>109.5</v>
      </c>
      <c r="H27" s="130">
        <f>+' Financials'!K62</f>
        <v>98.2</v>
      </c>
      <c r="I27" s="68">
        <f>+' Financials'!L62</f>
        <v>94.147209662938195</v>
      </c>
      <c r="J27" s="68">
        <f>+' Financials'!M62</f>
        <v>8.2024042733810774</v>
      </c>
      <c r="K27" s="68">
        <f>+' Financials'!N62</f>
        <v>111.79673623719187</v>
      </c>
      <c r="L27" s="68">
        <f>+' Financials'!O62</f>
        <v>124.39494101920214</v>
      </c>
      <c r="M27" s="68">
        <f>+' Financials'!P62</f>
        <v>127.56812935492377</v>
      </c>
      <c r="N27" s="68">
        <f ca="1">+' Financials'!Q62</f>
        <v>130.50497670037939</v>
      </c>
      <c r="O27" s="68">
        <f ca="1">+' Financials'!R62</f>
        <v>133.24650233845801</v>
      </c>
      <c r="P27" s="68">
        <f ca="1">+' Financials'!S62</f>
        <v>135.77717411567374</v>
      </c>
      <c r="Q27" s="68">
        <f ca="1">+' Financials'!T62</f>
        <v>138.08237409438118</v>
      </c>
      <c r="R27" s="68">
        <f ca="1">+' Financials'!U62</f>
        <v>140.14853878072222</v>
      </c>
      <c r="S27" s="68">
        <f ca="1">+' Financials'!V62</f>
        <v>141.96329207130722</v>
      </c>
      <c r="T27" s="68"/>
    </row>
    <row r="28" spans="3:21" ht="12.75" customHeight="1">
      <c r="C28" s="128"/>
      <c r="D28" s="128" t="s">
        <v>68</v>
      </c>
      <c r="E28" s="128"/>
      <c r="F28" s="133">
        <f t="shared" ref="F28:S28" si="3">IF(ISERROR(F27/F$24),"n.a.",(F27/F$24))</f>
        <v>9.9269406392694062E-2</v>
      </c>
      <c r="G28" s="133">
        <f t="shared" si="3"/>
        <v>9.6467271606025903E-2</v>
      </c>
      <c r="H28" s="134">
        <f t="shared" si="3"/>
        <v>8.6246267345863353E-2</v>
      </c>
      <c r="I28" s="133">
        <f t="shared" si="3"/>
        <v>8.1921904398915543E-2</v>
      </c>
      <c r="J28" s="133">
        <f t="shared" si="3"/>
        <v>7.4567311576191611E-3</v>
      </c>
      <c r="K28" s="133">
        <f t="shared" si="3"/>
        <v>8.2577669530744247E-2</v>
      </c>
      <c r="L28" s="133">
        <f t="shared" si="3"/>
        <v>8.5968935047082765E-2</v>
      </c>
      <c r="M28" s="133">
        <f t="shared" si="3"/>
        <v>8.8428067672376806E-2</v>
      </c>
      <c r="N28" s="133">
        <f t="shared" ca="1" si="3"/>
        <v>8.8690039739666021E-2</v>
      </c>
      <c r="O28" s="133">
        <f t="shared" ca="1" si="3"/>
        <v>8.8952020133945917E-2</v>
      </c>
      <c r="P28" s="133">
        <f t="shared" ca="1" si="3"/>
        <v>8.9214008855216437E-2</v>
      </c>
      <c r="Q28" s="133">
        <f t="shared" ca="1" si="3"/>
        <v>8.947600382172996E-2</v>
      </c>
      <c r="R28" s="133">
        <f t="shared" ca="1" si="3"/>
        <v>8.9738001910864978E-2</v>
      </c>
      <c r="S28" s="133">
        <f t="shared" ca="1" si="3"/>
        <v>0.09</v>
      </c>
      <c r="T28" s="133"/>
    </row>
    <row r="29" spans="3:21" ht="12.75" customHeight="1">
      <c r="C29" s="128"/>
      <c r="D29" s="128" t="s">
        <v>64</v>
      </c>
      <c r="E29" s="128"/>
      <c r="F29" s="128"/>
      <c r="G29" s="131">
        <f>'Company fin forecasts'!C19</f>
        <v>38.442026856682403</v>
      </c>
      <c r="H29" s="132">
        <f t="shared" ref="H29:S29" si="4">IF(ISERROR(H27/G27-1),"n.a.",(H27/G27-1))</f>
        <v>-0.10319634703196345</v>
      </c>
      <c r="I29" s="133">
        <f t="shared" si="4"/>
        <v>-4.1270777363154876E-2</v>
      </c>
      <c r="J29" s="133">
        <f t="shared" si="4"/>
        <v>-0.91287682021860261</v>
      </c>
      <c r="K29" s="133">
        <f t="shared" si="4"/>
        <v>12.629752022830816</v>
      </c>
      <c r="L29" s="133">
        <f t="shared" si="4"/>
        <v>0.11268848453036662</v>
      </c>
      <c r="M29" s="133">
        <f t="shared" si="4"/>
        <v>2.5508982195922236E-2</v>
      </c>
      <c r="N29" s="133">
        <f t="shared" ca="1" si="4"/>
        <v>2.3021795179614557E-2</v>
      </c>
      <c r="O29" s="133">
        <f t="shared" ca="1" si="4"/>
        <v>2.1007058178116544E-2</v>
      </c>
      <c r="P29" s="133">
        <f t="shared" ca="1" si="4"/>
        <v>1.8992406800949935E-2</v>
      </c>
      <c r="Q29" s="133">
        <f t="shared" ca="1" si="4"/>
        <v>1.6977816733345419E-2</v>
      </c>
      <c r="R29" s="133">
        <f t="shared" ca="1" si="4"/>
        <v>1.4963276087133215E-2</v>
      </c>
      <c r="S29" s="133">
        <f t="shared" ca="1" si="4"/>
        <v>1.2948784956112736E-2</v>
      </c>
      <c r="T29" s="133"/>
    </row>
    <row r="30" spans="3:21" s="128" customFormat="1" ht="12.75" customHeight="1">
      <c r="H30" s="129"/>
    </row>
    <row r="31" spans="3:21" s="128" customFormat="1" ht="12.75" customHeight="1">
      <c r="D31" s="128" t="s">
        <v>81</v>
      </c>
      <c r="F31" s="68">
        <f>' Financials'!I65</f>
        <v>-31.600000000000009</v>
      </c>
      <c r="G31" s="68">
        <f>' Financials'!J65</f>
        <v>-34.900000000000006</v>
      </c>
      <c r="H31" s="130">
        <f>' Financials'!K65</f>
        <v>-36</v>
      </c>
      <c r="I31" s="68">
        <f>' Financials'!L65</f>
        <v>-36.1292154</v>
      </c>
      <c r="J31" s="68">
        <f>' Financials'!M65</f>
        <v>-40.45529352334907</v>
      </c>
      <c r="K31" s="68">
        <f>' Financials'!N65</f>
        <v>-47.195257615808771</v>
      </c>
      <c r="L31" s="68">
        <f>' Financials'!O65</f>
        <v>-51.829543587564174</v>
      </c>
      <c r="M31" s="68">
        <f>' Financials'!P65</f>
        <v>-54.799912142159172</v>
      </c>
      <c r="N31" s="68">
        <f ca="1">' Financials'!Q65</f>
        <v>-53.583371406544728</v>
      </c>
      <c r="O31" s="68">
        <f ca="1">' Financials'!R65</f>
        <v>-52.366775194672485</v>
      </c>
      <c r="P31" s="68">
        <f ca="1">' Financials'!S65</f>
        <v>-51.15012329902379</v>
      </c>
      <c r="Q31" s="68">
        <f ca="1">' Financials'!T65</f>
        <v>-49.933429510083272</v>
      </c>
      <c r="R31" s="68">
        <f ca="1">' Financials'!U65</f>
        <v>-48.716714688264972</v>
      </c>
      <c r="S31" s="68">
        <f ca="1">' Financials'!V65</f>
        <v>-47.499999780309992</v>
      </c>
      <c r="T31" s="68"/>
    </row>
    <row r="32" spans="3:21" ht="12.75" customHeight="1">
      <c r="C32" s="128"/>
      <c r="D32" s="128" t="s">
        <v>74</v>
      </c>
      <c r="E32" s="128"/>
      <c r="F32" s="133">
        <f t="shared" ref="F32:S32" si="5">IF(ISERROR(-F31/F$24),"n.a.",(-F31/F$24))</f>
        <v>2.8858447488584484E-2</v>
      </c>
      <c r="G32" s="133">
        <f t="shared" si="5"/>
        <v>3.0746189763016483E-2</v>
      </c>
      <c r="H32" s="134">
        <f t="shared" si="5"/>
        <v>3.1617776216406115E-2</v>
      </c>
      <c r="I32" s="133">
        <f t="shared" si="5"/>
        <v>3.1437725457855663E-2</v>
      </c>
      <c r="J32" s="133">
        <f t="shared" si="5"/>
        <v>3.6777539566680971E-2</v>
      </c>
      <c r="K32" s="133">
        <f t="shared" si="5"/>
        <v>3.4860359237572046E-2</v>
      </c>
      <c r="L32" s="133">
        <f t="shared" si="5"/>
        <v>3.5819227290854572E-2</v>
      </c>
      <c r="M32" s="133">
        <f t="shared" si="5"/>
        <v>3.7986371391124568E-2</v>
      </c>
      <c r="N32" s="133">
        <f t="shared" ca="1" si="5"/>
        <v>3.6414790145071312E-2</v>
      </c>
      <c r="O32" s="133">
        <f t="shared" ca="1" si="5"/>
        <v>3.4958744580283682E-2</v>
      </c>
      <c r="P32" s="133">
        <f t="shared" ca="1" si="5"/>
        <v>3.3608797521863763E-2</v>
      </c>
      <c r="Q32" s="133">
        <f t="shared" ca="1" si="5"/>
        <v>3.2356365241971163E-2</v>
      </c>
      <c r="R32" s="133">
        <f t="shared" ca="1" si="5"/>
        <v>3.1193622665068626E-2</v>
      </c>
      <c r="S32" s="133">
        <f t="shared" ca="1" si="5"/>
        <v>3.0113418179120523E-2</v>
      </c>
      <c r="T32" s="133"/>
    </row>
    <row r="33" spans="3:20" ht="12.75" customHeight="1">
      <c r="C33" s="128"/>
      <c r="D33" s="128" t="s">
        <v>83</v>
      </c>
      <c r="E33" s="128"/>
      <c r="F33" s="133">
        <f>F31/F48</f>
        <v>0.87534626038781183</v>
      </c>
      <c r="G33" s="133">
        <f>'Company fin forecasts'!C10</f>
        <v>-30.012889249967998</v>
      </c>
      <c r="H33" s="134">
        <f t="shared" ref="H33:S33" si="6">H31/H48</f>
        <v>1.1612903225806452</v>
      </c>
      <c r="I33" s="133">
        <f t="shared" si="6"/>
        <v>1.0035893166666667</v>
      </c>
      <c r="J33" s="133">
        <f t="shared" si="6"/>
        <v>0.79324104947743279</v>
      </c>
      <c r="K33" s="133">
        <f t="shared" si="6"/>
        <v>0.94390515231617544</v>
      </c>
      <c r="L33" s="133">
        <f t="shared" si="6"/>
        <v>1.0365908717512835</v>
      </c>
      <c r="M33" s="133">
        <f t="shared" si="6"/>
        <v>1.0959982428431834</v>
      </c>
      <c r="N33" s="133">
        <f t="shared" ca="1" si="6"/>
        <v>1.0716674281308947</v>
      </c>
      <c r="O33" s="133">
        <f t="shared" ca="1" si="6"/>
        <v>1.0473355038934498</v>
      </c>
      <c r="P33" s="133">
        <f t="shared" ca="1" si="6"/>
        <v>1.0230024659804757</v>
      </c>
      <c r="Q33" s="133">
        <f t="shared" ca="1" si="6"/>
        <v>0.99866859020166543</v>
      </c>
      <c r="R33" s="133">
        <f t="shared" ca="1" si="6"/>
        <v>0.97433429376529945</v>
      </c>
      <c r="S33" s="133">
        <f t="shared" ca="1" si="6"/>
        <v>0.94999999560619985</v>
      </c>
      <c r="T33" s="133"/>
    </row>
    <row r="34" spans="3:20" s="128" customFormat="1" ht="12.75" customHeight="1">
      <c r="H34" s="129"/>
    </row>
    <row r="35" spans="3:20" s="128" customFormat="1" ht="12.75" customHeight="1">
      <c r="D35" s="128" t="s">
        <v>69</v>
      </c>
      <c r="F35" s="16">
        <f t="shared" ref="F35:S35" si="7">F27+F31</f>
        <v>77.099999999999994</v>
      </c>
      <c r="G35" s="16">
        <f t="shared" si="7"/>
        <v>74.599999999999994</v>
      </c>
      <c r="H35" s="135">
        <f t="shared" si="7"/>
        <v>62.2</v>
      </c>
      <c r="I35" s="16">
        <f t="shared" si="7"/>
        <v>58.017994262938196</v>
      </c>
      <c r="J35" s="16">
        <f t="shared" si="7"/>
        <v>-32.252889249967993</v>
      </c>
      <c r="K35" s="16">
        <f t="shared" si="7"/>
        <v>64.601478621383094</v>
      </c>
      <c r="L35" s="16">
        <f t="shared" si="7"/>
        <v>72.565397431637962</v>
      </c>
      <c r="M35" s="16">
        <f t="shared" si="7"/>
        <v>72.768217212764597</v>
      </c>
      <c r="N35" s="16">
        <f t="shared" ca="1" si="7"/>
        <v>76.921605293834659</v>
      </c>
      <c r="O35" s="16">
        <f t="shared" ca="1" si="7"/>
        <v>80.87972714378553</v>
      </c>
      <c r="P35" s="16">
        <f t="shared" ca="1" si="7"/>
        <v>84.627050816649955</v>
      </c>
      <c r="Q35" s="16">
        <f t="shared" ca="1" si="7"/>
        <v>88.148944584297908</v>
      </c>
      <c r="R35" s="16">
        <f t="shared" ca="1" si="7"/>
        <v>91.431824092457248</v>
      </c>
      <c r="S35" s="16">
        <f t="shared" ca="1" si="7"/>
        <v>94.463292290997231</v>
      </c>
      <c r="T35" s="16"/>
    </row>
    <row r="36" spans="3:20" ht="12.75" customHeight="1">
      <c r="C36" s="128"/>
      <c r="D36" s="128" t="s">
        <v>68</v>
      </c>
      <c r="E36" s="128"/>
      <c r="F36" s="133">
        <f t="shared" ref="F36:S36" si="8">IF(ISERROR(F35/F$24),"n.a.",(F35/F$24))</f>
        <v>7.0410958904109588E-2</v>
      </c>
      <c r="G36" s="133">
        <f t="shared" si="8"/>
        <v>6.5721081843009427E-2</v>
      </c>
      <c r="H36" s="134">
        <f t="shared" si="8"/>
        <v>5.4628491129457238E-2</v>
      </c>
      <c r="I36" s="133">
        <f t="shared" si="8"/>
        <v>5.0484178941059873E-2</v>
      </c>
      <c r="J36" s="133">
        <f t="shared" si="8"/>
        <v>-2.9320808409061812E-2</v>
      </c>
      <c r="K36" s="133">
        <f t="shared" si="8"/>
        <v>4.7717310293172194E-2</v>
      </c>
      <c r="L36" s="133">
        <f t="shared" si="8"/>
        <v>5.01497077562282E-2</v>
      </c>
      <c r="M36" s="133">
        <f t="shared" si="8"/>
        <v>5.0441696281252238E-2</v>
      </c>
      <c r="N36" s="133">
        <f t="shared" ca="1" si="8"/>
        <v>5.2275249594594717E-2</v>
      </c>
      <c r="O36" s="133">
        <f t="shared" ca="1" si="8"/>
        <v>5.3993275553662227E-2</v>
      </c>
      <c r="P36" s="133">
        <f t="shared" ca="1" si="8"/>
        <v>5.5605211333352667E-2</v>
      </c>
      <c r="Q36" s="133">
        <f t="shared" ca="1" si="8"/>
        <v>5.7119638579758797E-2</v>
      </c>
      <c r="R36" s="133">
        <f t="shared" ca="1" si="8"/>
        <v>5.8544379245796349E-2</v>
      </c>
      <c r="S36" s="133">
        <f t="shared" ca="1" si="8"/>
        <v>5.9886581820879477E-2</v>
      </c>
      <c r="T36" s="133"/>
    </row>
    <row r="37" spans="3:20" ht="12.75" customHeight="1">
      <c r="C37" s="128"/>
      <c r="D37" s="128" t="s">
        <v>64</v>
      </c>
      <c r="E37" s="128"/>
      <c r="F37" s="128"/>
      <c r="G37" s="131">
        <f>'Company fin forecasts'!C25</f>
        <v>-8.6934140817306105</v>
      </c>
      <c r="H37" s="132">
        <f t="shared" ref="H37:S37" si="9">IF(ISERROR(H35/G35-1),"n.a.",(H35/G35-1))</f>
        <v>-0.16621983914209104</v>
      </c>
      <c r="I37" s="133">
        <f t="shared" si="9"/>
        <v>-6.7234818923823214E-2</v>
      </c>
      <c r="J37" s="133">
        <f t="shared" si="9"/>
        <v>-1.5559118280407547</v>
      </c>
      <c r="K37" s="133">
        <f t="shared" si="9"/>
        <v>-3.0029671797991617</v>
      </c>
      <c r="L37" s="133">
        <f t="shared" si="9"/>
        <v>0.12327765525197765</v>
      </c>
      <c r="M37" s="133">
        <f t="shared" si="9"/>
        <v>2.7949930449662208E-3</v>
      </c>
      <c r="N37" s="133">
        <f t="shared" ca="1" si="9"/>
        <v>5.7076952550948246E-2</v>
      </c>
      <c r="O37" s="133">
        <f t="shared" ca="1" si="9"/>
        <v>5.1456568474242736E-2</v>
      </c>
      <c r="P37" s="133">
        <f t="shared" ca="1" si="9"/>
        <v>4.6332051370580718E-2</v>
      </c>
      <c r="Q37" s="133">
        <f t="shared" ca="1" si="9"/>
        <v>4.1616643066983094E-2</v>
      </c>
      <c r="R37" s="133">
        <f t="shared" ca="1" si="9"/>
        <v>3.7242414230154397E-2</v>
      </c>
      <c r="S37" s="133">
        <f t="shared" ca="1" si="9"/>
        <v>3.3155503880951898E-2</v>
      </c>
      <c r="T37" s="133"/>
    </row>
    <row r="38" spans="3:20" s="128" customFormat="1" ht="12.75" customHeight="1">
      <c r="H38" s="129"/>
    </row>
    <row r="39" spans="3:20" ht="12.75" customHeight="1">
      <c r="D39" t="s">
        <v>25</v>
      </c>
      <c r="F39" s="17"/>
      <c r="G39" s="17"/>
      <c r="H39" s="136"/>
      <c r="I39" s="17">
        <f t="shared" ref="I39:S39" si="10">-I35*I40</f>
        <v>-11.023418909958258</v>
      </c>
      <c r="J39" s="17">
        <f t="shared" si="10"/>
        <v>5.4829911724945593</v>
      </c>
      <c r="K39" s="17">
        <f t="shared" si="10"/>
        <v>-10.982251365635127</v>
      </c>
      <c r="L39" s="17">
        <f t="shared" si="10"/>
        <v>-12.336117563378455</v>
      </c>
      <c r="M39" s="17">
        <f t="shared" si="10"/>
        <v>-12.370596926169982</v>
      </c>
      <c r="N39" s="17">
        <f t="shared" ca="1" si="10"/>
        <v>-13.076672899951893</v>
      </c>
      <c r="O39" s="17">
        <f t="shared" ca="1" si="10"/>
        <v>-13.749553614443542</v>
      </c>
      <c r="P39" s="17">
        <f t="shared" ca="1" si="10"/>
        <v>-14.386598638830494</v>
      </c>
      <c r="Q39" s="17">
        <f t="shared" ca="1" si="10"/>
        <v>-14.985320579330645</v>
      </c>
      <c r="R39" s="17">
        <f t="shared" ca="1" si="10"/>
        <v>-15.543410095717734</v>
      </c>
      <c r="S39" s="17">
        <f t="shared" ca="1" si="10"/>
        <v>-16.058759689469529</v>
      </c>
      <c r="T39" s="17"/>
    </row>
    <row r="40" spans="3:20" ht="12.75" customHeight="1">
      <c r="C40" s="128"/>
      <c r="D40" s="128" t="s">
        <v>70</v>
      </c>
      <c r="E40" s="128"/>
      <c r="F40" s="137"/>
      <c r="G40" s="137"/>
      <c r="H40" s="138"/>
      <c r="I40" s="137">
        <f>+' Financials'!L29</f>
        <v>0.19</v>
      </c>
      <c r="J40" s="137">
        <f>+' Financials'!M29</f>
        <v>0.17</v>
      </c>
      <c r="K40" s="137">
        <f>+' Financials'!N29</f>
        <v>0.17</v>
      </c>
      <c r="L40" s="137">
        <f>+' Financials'!O29</f>
        <v>0.17</v>
      </c>
      <c r="M40" s="137">
        <f>+' Financials'!P29</f>
        <v>0.17</v>
      </c>
      <c r="N40" s="137">
        <f>+' Financials'!Q29</f>
        <v>0.17</v>
      </c>
      <c r="O40" s="137">
        <f>+' Financials'!R29</f>
        <v>0.17</v>
      </c>
      <c r="P40" s="137">
        <f>+' Financials'!S29</f>
        <v>0.17</v>
      </c>
      <c r="Q40" s="137">
        <f>+' Financials'!T29</f>
        <v>0.17</v>
      </c>
      <c r="R40" s="137">
        <f>+' Financials'!U29</f>
        <v>0.17</v>
      </c>
      <c r="S40" s="137">
        <f>+' Financials'!V29</f>
        <v>0.17</v>
      </c>
      <c r="T40" s="137"/>
    </row>
    <row r="41" spans="3:20" s="128" customFormat="1" ht="12.75" customHeight="1">
      <c r="H41" s="129"/>
    </row>
    <row r="42" spans="3:20" s="128" customFormat="1" ht="12.75" customHeight="1">
      <c r="D42" s="128" t="s">
        <v>95</v>
      </c>
      <c r="F42" s="17"/>
      <c r="G42" s="17"/>
      <c r="H42" s="136"/>
      <c r="I42" s="17">
        <f t="shared" ref="I42:S42" si="11">I35+I39</f>
        <v>46.994575352979936</v>
      </c>
      <c r="J42" s="17">
        <f t="shared" si="11"/>
        <v>-26.769898077473435</v>
      </c>
      <c r="K42" s="16">
        <f t="shared" si="11"/>
        <v>53.619227255747965</v>
      </c>
      <c r="L42" s="17">
        <f t="shared" si="11"/>
        <v>60.229279868259511</v>
      </c>
      <c r="M42" s="17">
        <f t="shared" si="11"/>
        <v>60.397620286594616</v>
      </c>
      <c r="N42" s="17">
        <f t="shared" ca="1" si="11"/>
        <v>63.844932393882765</v>
      </c>
      <c r="O42" s="17">
        <f t="shared" ca="1" si="11"/>
        <v>67.130173529341988</v>
      </c>
      <c r="P42" s="17">
        <f t="shared" ca="1" si="11"/>
        <v>70.240452177819463</v>
      </c>
      <c r="Q42" s="17">
        <f t="shared" ca="1" si="11"/>
        <v>73.163624004967261</v>
      </c>
      <c r="R42" s="17">
        <f t="shared" ca="1" si="11"/>
        <v>75.888413996739516</v>
      </c>
      <c r="S42" s="17">
        <f t="shared" ca="1" si="11"/>
        <v>78.404532601527706</v>
      </c>
      <c r="T42" s="17"/>
    </row>
    <row r="43" spans="3:20" ht="12.75" customHeight="1">
      <c r="C43" s="128"/>
      <c r="D43" s="128" t="s">
        <v>68</v>
      </c>
      <c r="E43" s="128"/>
      <c r="F43" s="133"/>
      <c r="G43" s="133"/>
      <c r="H43" s="134"/>
      <c r="I43" s="133">
        <f t="shared" ref="I43:S43" si="12">IF(ISERROR(I42/I$24),"n.a.",(I42/I$24))</f>
        <v>4.0892184942258492E-2</v>
      </c>
      <c r="J43" s="133">
        <f t="shared" si="12"/>
        <v>-2.4336270979521304E-2</v>
      </c>
      <c r="K43" s="133">
        <f t="shared" si="12"/>
        <v>3.9605367543332923E-2</v>
      </c>
      <c r="L43" s="133">
        <f t="shared" si="12"/>
        <v>4.1624257437669406E-2</v>
      </c>
      <c r="M43" s="133">
        <f t="shared" si="12"/>
        <v>4.1866607913439359E-2</v>
      </c>
      <c r="N43" s="133">
        <f t="shared" ca="1" si="12"/>
        <v>4.3388457163513611E-2</v>
      </c>
      <c r="O43" s="133">
        <f t="shared" ca="1" si="12"/>
        <v>4.4814418709539651E-2</v>
      </c>
      <c r="P43" s="133">
        <f t="shared" ca="1" si="12"/>
        <v>4.6152325406682716E-2</v>
      </c>
      <c r="Q43" s="133">
        <f t="shared" ca="1" si="12"/>
        <v>4.74093000211998E-2</v>
      </c>
      <c r="R43" s="133">
        <f t="shared" ca="1" si="12"/>
        <v>4.8591834774010967E-2</v>
      </c>
      <c r="S43" s="133">
        <f t="shared" ca="1" si="12"/>
        <v>4.9705862911329966E-2</v>
      </c>
      <c r="T43" s="133"/>
    </row>
    <row r="44" spans="3:20" ht="12.75" customHeight="1">
      <c r="C44" s="128"/>
      <c r="D44" s="128" t="s">
        <v>64</v>
      </c>
      <c r="E44" s="128"/>
      <c r="F44" s="128"/>
      <c r="G44" s="131"/>
      <c r="H44" s="132"/>
      <c r="I44" s="139" t="str">
        <f t="shared" ref="I44:S44" si="13">IF(ISERROR(I42/H42-1),"n.a.",(I42/H42-1))</f>
        <v>n.a.</v>
      </c>
      <c r="J44" s="133">
        <f t="shared" si="13"/>
        <v>-1.5696380460170696</v>
      </c>
      <c r="K44" s="133">
        <f t="shared" si="13"/>
        <v>-3.0029671797991617</v>
      </c>
      <c r="L44" s="133">
        <f t="shared" si="13"/>
        <v>0.12327765525197765</v>
      </c>
      <c r="M44" s="133">
        <f t="shared" si="13"/>
        <v>2.7949930449662208E-3</v>
      </c>
      <c r="N44" s="133">
        <f t="shared" ca="1" si="13"/>
        <v>5.7076952550948246E-2</v>
      </c>
      <c r="O44" s="133">
        <f t="shared" ca="1" si="13"/>
        <v>5.1456568474242736E-2</v>
      </c>
      <c r="P44" s="133">
        <f t="shared" ca="1" si="13"/>
        <v>4.6332051370580718E-2</v>
      </c>
      <c r="Q44" s="133">
        <f t="shared" ca="1" si="13"/>
        <v>4.1616643066982872E-2</v>
      </c>
      <c r="R44" s="133">
        <f t="shared" ca="1" si="13"/>
        <v>3.7242414230154397E-2</v>
      </c>
      <c r="S44" s="133">
        <f t="shared" ca="1" si="13"/>
        <v>3.315550388095212E-2</v>
      </c>
      <c r="T44" s="133"/>
    </row>
    <row r="45" spans="3:20" ht="12.75" customHeight="1">
      <c r="H45" s="129"/>
    </row>
    <row r="46" spans="3:20" ht="12.75" customHeight="1">
      <c r="D46" t="s">
        <v>81</v>
      </c>
      <c r="F46" s="17"/>
      <c r="G46" s="17">
        <f>'Company fin forecasts'!C23</f>
        <v>-51</v>
      </c>
      <c r="H46" s="136"/>
      <c r="I46" s="17">
        <f t="shared" ref="I46:S46" si="14">-I31</f>
        <v>36.1292154</v>
      </c>
      <c r="J46" s="17">
        <f t="shared" si="14"/>
        <v>40.45529352334907</v>
      </c>
      <c r="K46" s="17">
        <f t="shared" si="14"/>
        <v>47.195257615808771</v>
      </c>
      <c r="L46" s="17">
        <f t="shared" si="14"/>
        <v>51.829543587564174</v>
      </c>
      <c r="M46" s="17">
        <f t="shared" si="14"/>
        <v>54.799912142159172</v>
      </c>
      <c r="N46" s="17">
        <f t="shared" ca="1" si="14"/>
        <v>53.583371406544728</v>
      </c>
      <c r="O46" s="17">
        <f t="shared" ca="1" si="14"/>
        <v>52.366775194672485</v>
      </c>
      <c r="P46" s="17">
        <f t="shared" ca="1" si="14"/>
        <v>51.15012329902379</v>
      </c>
      <c r="Q46" s="17">
        <f t="shared" ca="1" si="14"/>
        <v>49.933429510083272</v>
      </c>
      <c r="R46" s="17">
        <f t="shared" ca="1" si="14"/>
        <v>48.716714688264972</v>
      </c>
      <c r="S46" s="17">
        <f t="shared" ca="1" si="14"/>
        <v>47.499999780309992</v>
      </c>
      <c r="T46" s="17"/>
    </row>
    <row r="47" spans="3:20" s="128" customFormat="1" ht="12.75" customHeight="1">
      <c r="H47" s="129"/>
      <c r="K47" s="140"/>
      <c r="L47" s="140"/>
      <c r="M47" s="140"/>
      <c r="N47" s="140"/>
      <c r="O47" s="140"/>
      <c r="P47" s="140"/>
      <c r="Q47" s="140"/>
      <c r="R47" s="140"/>
      <c r="S47" s="140"/>
      <c r="T47" s="140"/>
    </row>
    <row r="48" spans="3:20" s="128" customFormat="1" ht="12.75" customHeight="1">
      <c r="D48" s="128" t="s">
        <v>23</v>
      </c>
      <c r="F48" s="68">
        <f>+' Financials'!I72</f>
        <v>-36.1</v>
      </c>
      <c r="G48" s="68">
        <f>+' Financials'!J72</f>
        <v>-37.299999999999997</v>
      </c>
      <c r="H48" s="130">
        <f>+' Financials'!K72</f>
        <v>-31</v>
      </c>
      <c r="I48" s="68">
        <f>+' Financials'!L72</f>
        <v>-36</v>
      </c>
      <c r="J48" s="68">
        <f>+' Financials'!M72</f>
        <v>-51</v>
      </c>
      <c r="K48" s="68">
        <f>+' Financials'!N72</f>
        <v>-50</v>
      </c>
      <c r="L48" s="68">
        <f>+' Financials'!O72</f>
        <v>-50</v>
      </c>
      <c r="M48" s="68">
        <f>+' Financials'!P72</f>
        <v>-50</v>
      </c>
      <c r="N48" s="68">
        <f>+' Financials'!Q72</f>
        <v>-50</v>
      </c>
      <c r="O48" s="68">
        <f>+' Financials'!R72</f>
        <v>-50</v>
      </c>
      <c r="P48" s="68">
        <f>+' Financials'!S72</f>
        <v>-50</v>
      </c>
      <c r="Q48" s="68">
        <f>+' Financials'!T72</f>
        <v>-50</v>
      </c>
      <c r="R48" s="68">
        <f>+' Financials'!U72</f>
        <v>-50</v>
      </c>
      <c r="S48" s="68">
        <f>+' Financials'!V72</f>
        <v>-50</v>
      </c>
      <c r="T48" s="68"/>
    </row>
    <row r="49" spans="3:20" ht="12.75" customHeight="1">
      <c r="C49" s="128"/>
      <c r="D49" s="128" t="s">
        <v>74</v>
      </c>
      <c r="E49" s="128"/>
      <c r="F49" s="133">
        <f t="shared" ref="F49:S49" si="15">IF(ISERROR(-F48/F$24),"n.a.",(-F48/F$24))</f>
        <v>3.2968036529680368E-2</v>
      </c>
      <c r="G49" s="133">
        <f t="shared" si="15"/>
        <v>3.2860540921504713E-2</v>
      </c>
      <c r="H49" s="134">
        <f t="shared" si="15"/>
        <v>2.7226418408571932E-2</v>
      </c>
      <c r="I49" s="133">
        <f t="shared" si="15"/>
        <v>3.1325289075688149E-2</v>
      </c>
      <c r="J49" s="133">
        <f t="shared" si="15"/>
        <v>4.6363636363636364E-2</v>
      </c>
      <c r="K49" s="133">
        <f t="shared" si="15"/>
        <v>3.6932057370415793E-2</v>
      </c>
      <c r="L49" s="133">
        <f t="shared" si="15"/>
        <v>3.4554835728332484E-2</v>
      </c>
      <c r="M49" s="133">
        <f t="shared" si="15"/>
        <v>3.4659153551726725E-2</v>
      </c>
      <c r="N49" s="133">
        <f t="shared" si="15"/>
        <v>3.3979562305614434E-2</v>
      </c>
      <c r="O49" s="133">
        <f t="shared" ca="1" si="15"/>
        <v>3.3378744872416925E-2</v>
      </c>
      <c r="P49" s="133">
        <f t="shared" ca="1" si="15"/>
        <v>3.2853095314537784E-2</v>
      </c>
      <c r="Q49" s="133">
        <f t="shared" ca="1" si="15"/>
        <v>3.2399502256736941E-2</v>
      </c>
      <c r="R49" s="133">
        <f t="shared" ca="1" si="15"/>
        <v>3.201531842271646E-2</v>
      </c>
      <c r="S49" s="133">
        <f t="shared" ca="1" si="15"/>
        <v>3.16983350719965E-2</v>
      </c>
      <c r="T49" s="133"/>
    </row>
    <row r="50" spans="3:20" ht="12.75" customHeight="1">
      <c r="C50" s="128"/>
      <c r="D50" s="128" t="s">
        <v>96</v>
      </c>
      <c r="E50" s="128"/>
      <c r="F50" s="133">
        <f>F48/F31</f>
        <v>1.1424050632911389</v>
      </c>
      <c r="G50" s="133">
        <f>'Company fin forecasts'!C27</f>
        <v>16.1119544409034</v>
      </c>
      <c r="H50" s="134">
        <f t="shared" ref="H50:S50" si="16">H48/H31</f>
        <v>0.86111111111111116</v>
      </c>
      <c r="I50" s="133">
        <f t="shared" si="16"/>
        <v>0.99642352045098659</v>
      </c>
      <c r="J50" s="133">
        <f t="shared" si="16"/>
        <v>1.260650845866808</v>
      </c>
      <c r="K50" s="133">
        <f t="shared" si="16"/>
        <v>1.0594284791710034</v>
      </c>
      <c r="L50" s="133">
        <f t="shared" si="16"/>
        <v>0.96470075827557256</v>
      </c>
      <c r="M50" s="133">
        <f t="shared" si="16"/>
        <v>0.91241022194146071</v>
      </c>
      <c r="N50" s="133">
        <f t="shared" ca="1" si="16"/>
        <v>0.93312530898145296</v>
      </c>
      <c r="O50" s="133">
        <f t="shared" ca="1" si="16"/>
        <v>0.95480387734638916</v>
      </c>
      <c r="P50" s="133">
        <f t="shared" ca="1" si="16"/>
        <v>0.97751475021281642</v>
      </c>
      <c r="Q50" s="133">
        <f t="shared" ca="1" si="16"/>
        <v>1.0013331848136584</v>
      </c>
      <c r="R50" s="133">
        <f t="shared" ca="1" si="16"/>
        <v>1.0263417867963118</v>
      </c>
      <c r="S50" s="133">
        <f t="shared" ca="1" si="16"/>
        <v>1.0526315838158451</v>
      </c>
      <c r="T50" s="133"/>
    </row>
    <row r="51" spans="3:20" ht="12.75" customHeight="1">
      <c r="C51" s="128"/>
      <c r="D51" s="128"/>
      <c r="E51" s="128"/>
      <c r="F51" s="133"/>
      <c r="G51" s="133"/>
      <c r="H51" s="134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3:20" ht="12.75" customHeight="1">
      <c r="D52" t="s">
        <v>97</v>
      </c>
      <c r="F52" s="68">
        <f>+' Financials'!I74</f>
        <v>-16.300000000000004</v>
      </c>
      <c r="G52" s="68">
        <f>+' Financials'!J74</f>
        <v>-12.6</v>
      </c>
      <c r="H52" s="130">
        <f>+' Financials'!K74</f>
        <v>-10.399999999999999</v>
      </c>
      <c r="I52" s="68">
        <f>+' Financials'!L74</f>
        <v>6</v>
      </c>
      <c r="J52" s="68">
        <f>+' Financials'!M74</f>
        <v>16.1119544409034</v>
      </c>
      <c r="K52" s="68">
        <f>+' Financials'!N74</f>
        <v>15.1688926668047</v>
      </c>
      <c r="L52" s="68">
        <f>+' Financials'!O74</f>
        <v>11.1102169006686</v>
      </c>
      <c r="M52" s="68">
        <f>+' Financials'!P74</f>
        <v>3.9548595532390398</v>
      </c>
      <c r="N52" s="68">
        <f>+' Financials'!Q74</f>
        <v>0</v>
      </c>
      <c r="O52" s="68">
        <f ca="1">+' Financials'!R74</f>
        <v>0</v>
      </c>
      <c r="P52" s="68">
        <f ca="1">+' Financials'!S74</f>
        <v>0</v>
      </c>
      <c r="Q52" s="68">
        <f ca="1">+' Financials'!T74</f>
        <v>0</v>
      </c>
      <c r="R52" s="68">
        <f ca="1">+' Financials'!U74</f>
        <v>0</v>
      </c>
      <c r="S52" s="68">
        <f ca="1">+' Financials'!V74</f>
        <v>0</v>
      </c>
      <c r="T52" s="68"/>
    </row>
    <row r="53" spans="3:20" ht="12.75" customHeight="1">
      <c r="C53" s="128"/>
      <c r="D53" s="128" t="s">
        <v>74</v>
      </c>
      <c r="E53" s="128"/>
      <c r="F53" s="133">
        <f>IF(ISERROR(F52/F$24),"n.a.",(F52/F$24))</f>
        <v>-1.4885844748858451E-2</v>
      </c>
      <c r="G53" s="133">
        <f>'Company fin forecasts'!C29</f>
        <v>0</v>
      </c>
      <c r="H53" s="134">
        <f t="shared" ref="H53:S53" si="17">IF(ISERROR(H52/H$24),"n.a.",(H52/H$24))</f>
        <v>-9.1340242402950991E-3</v>
      </c>
      <c r="I53" s="133">
        <f t="shared" si="17"/>
        <v>5.2208815126146913E-3</v>
      </c>
      <c r="J53" s="133">
        <f t="shared" si="17"/>
        <v>1.4647231309912181E-2</v>
      </c>
      <c r="K53" s="133">
        <f t="shared" si="17"/>
        <v>1.1204368284322211E-2</v>
      </c>
      <c r="L53" s="133">
        <f t="shared" si="17"/>
        <v>7.6782343981749357E-3</v>
      </c>
      <c r="M53" s="133">
        <f t="shared" si="17"/>
        <v>2.7414416906245045E-3</v>
      </c>
      <c r="N53" s="133">
        <f t="shared" si="17"/>
        <v>0</v>
      </c>
      <c r="O53" s="133">
        <f t="shared" ca="1" si="17"/>
        <v>0</v>
      </c>
      <c r="P53" s="133">
        <f t="shared" ca="1" si="17"/>
        <v>0</v>
      </c>
      <c r="Q53" s="133">
        <f t="shared" ca="1" si="17"/>
        <v>0</v>
      </c>
      <c r="R53" s="133">
        <f t="shared" ca="1" si="17"/>
        <v>0</v>
      </c>
      <c r="S53" s="133">
        <f t="shared" ca="1" si="17"/>
        <v>0</v>
      </c>
      <c r="T53" s="133"/>
    </row>
    <row r="54" spans="3:20" ht="12.75" customHeight="1">
      <c r="C54" s="128"/>
      <c r="D54" s="128"/>
      <c r="E54" s="128"/>
      <c r="F54" s="133"/>
      <c r="G54" s="133"/>
      <c r="H54" s="13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3:20" ht="12.75" customHeight="1">
      <c r="C55" s="128"/>
      <c r="D55" t="s">
        <v>77</v>
      </c>
      <c r="E55" s="128"/>
      <c r="F55" s="68">
        <f>+' Financials'!I76</f>
        <v>0</v>
      </c>
      <c r="G55" s="68">
        <f>+' Financials'!J76</f>
        <v>-1.5</v>
      </c>
      <c r="H55" s="130">
        <f>+' Financials'!K76</f>
        <v>0.74</v>
      </c>
      <c r="I55" s="68">
        <f>+' Financials'!L76</f>
        <v>0</v>
      </c>
      <c r="J55" s="68">
        <f>+' Financials'!M76</f>
        <v>0</v>
      </c>
      <c r="K55" s="68">
        <f>+' Financials'!N76</f>
        <v>-5</v>
      </c>
      <c r="L55" s="68">
        <f>+' Financials'!O76</f>
        <v>-5</v>
      </c>
      <c r="M55" s="68">
        <f>+' Financials'!P76</f>
        <v>-5</v>
      </c>
      <c r="N55" s="68">
        <f>+' Financials'!Q76</f>
        <v>-5</v>
      </c>
      <c r="O55" s="68">
        <f>+' Financials'!R76</f>
        <v>-5</v>
      </c>
      <c r="P55" s="68">
        <f>+' Financials'!S76</f>
        <v>-5</v>
      </c>
      <c r="Q55" s="68">
        <f>+' Financials'!T76</f>
        <v>-5</v>
      </c>
      <c r="R55" s="68">
        <f>+' Financials'!U76</f>
        <v>-5</v>
      </c>
      <c r="S55" s="68">
        <f>+' Financials'!V76</f>
        <v>-5</v>
      </c>
      <c r="T55" s="133"/>
    </row>
    <row r="56" spans="3:20" ht="12.75" customHeight="1">
      <c r="C56" s="128"/>
      <c r="D56" s="128" t="s">
        <v>74</v>
      </c>
      <c r="E56" s="128"/>
      <c r="F56" s="133">
        <f>IF(ISERROR(F55/F$24),"n.a.",(F55/F$24))</f>
        <v>0</v>
      </c>
      <c r="G56" s="133">
        <f>'Company fin forecasts'!C15</f>
        <v>-18.004468664734802</v>
      </c>
      <c r="H56" s="134">
        <f t="shared" ref="H56:S56" si="18">IF(ISERROR(H55/H$24),"n.a.",(H55/H$24))</f>
        <v>6.4992095555945904E-4</v>
      </c>
      <c r="I56" s="133">
        <f t="shared" si="18"/>
        <v>0</v>
      </c>
      <c r="J56" s="133">
        <f t="shared" si="18"/>
        <v>0</v>
      </c>
      <c r="K56" s="133">
        <f t="shared" si="18"/>
        <v>-3.6932057370415794E-3</v>
      </c>
      <c r="L56" s="133">
        <f t="shared" si="18"/>
        <v>-3.4554835728332488E-3</v>
      </c>
      <c r="M56" s="133">
        <f t="shared" si="18"/>
        <v>-3.4659153551726725E-3</v>
      </c>
      <c r="N56" s="133">
        <f t="shared" si="18"/>
        <v>-3.3979562305614434E-3</v>
      </c>
      <c r="O56" s="133">
        <f t="shared" ca="1" si="18"/>
        <v>-3.3378744872416925E-3</v>
      </c>
      <c r="P56" s="133">
        <f t="shared" ca="1" si="18"/>
        <v>-3.2853095314537783E-3</v>
      </c>
      <c r="Q56" s="133">
        <f t="shared" ca="1" si="18"/>
        <v>-3.2399502256736943E-3</v>
      </c>
      <c r="R56" s="133">
        <f t="shared" ca="1" si="18"/>
        <v>-3.2015318422716462E-3</v>
      </c>
      <c r="S56" s="133">
        <f t="shared" ca="1" si="18"/>
        <v>-3.1698335071996498E-3</v>
      </c>
      <c r="T56" s="133"/>
    </row>
    <row r="57" spans="3:20" ht="12.75" customHeight="1">
      <c r="C57" s="128"/>
      <c r="D57" s="128"/>
      <c r="E57" s="128"/>
      <c r="F57" s="133"/>
      <c r="G57" s="133"/>
      <c r="H57" s="134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</row>
    <row r="58" spans="3:20" ht="12.75" customHeight="1">
      <c r="C58" s="128"/>
      <c r="D58" t="s">
        <v>78</v>
      </c>
      <c r="E58" s="128"/>
      <c r="F58" s="68">
        <f>+' Financials'!I78</f>
        <v>0</v>
      </c>
      <c r="G58" s="68">
        <f>+' Financials'!J78</f>
        <v>0</v>
      </c>
      <c r="H58" s="130">
        <f>+' Financials'!K78</f>
        <v>0</v>
      </c>
      <c r="I58" s="68">
        <f>+' Financials'!L78</f>
        <v>0</v>
      </c>
      <c r="J58" s="68">
        <f>+' Financials'!M78</f>
        <v>-18.004468664734802</v>
      </c>
      <c r="K58" s="68">
        <f>+' Financials'!N78</f>
        <v>-6.7527180429793701</v>
      </c>
      <c r="L58" s="68">
        <f>+' Financials'!O78</f>
        <v>25.138454026318879</v>
      </c>
      <c r="M58" s="68">
        <f>+' Financials'!P78</f>
        <v>-4.8650405710493096</v>
      </c>
      <c r="N58" s="68">
        <f>+' Financials'!Q78</f>
        <v>0</v>
      </c>
      <c r="O58" s="68">
        <f>+' Financials'!R78</f>
        <v>0</v>
      </c>
      <c r="P58" s="68">
        <f>+' Financials'!S78</f>
        <v>0</v>
      </c>
      <c r="Q58" s="68">
        <f>+' Financials'!T78</f>
        <v>0</v>
      </c>
      <c r="R58" s="68">
        <f>+' Financials'!U78</f>
        <v>0</v>
      </c>
      <c r="S58" s="68">
        <f>+' Financials'!V78</f>
        <v>0</v>
      </c>
      <c r="T58" s="133"/>
    </row>
    <row r="59" spans="3:20" ht="12.75" customHeight="1">
      <c r="C59" s="128"/>
      <c r="D59" s="128" t="s">
        <v>74</v>
      </c>
      <c r="E59" s="128"/>
      <c r="F59" s="133">
        <f t="shared" ref="F59:S59" si="19">IF(ISERROR(F58/F$24),"n.a.",(F58/F$24))</f>
        <v>0</v>
      </c>
      <c r="G59" s="133">
        <f t="shared" si="19"/>
        <v>0</v>
      </c>
      <c r="H59" s="134">
        <f t="shared" si="19"/>
        <v>0</v>
      </c>
      <c r="I59" s="133">
        <f t="shared" si="19"/>
        <v>0</v>
      </c>
      <c r="J59" s="133">
        <f t="shared" si="19"/>
        <v>-1.6367698786122546E-2</v>
      </c>
      <c r="K59" s="133">
        <f t="shared" si="19"/>
        <v>-4.9878354033911186E-3</v>
      </c>
      <c r="L59" s="133">
        <f t="shared" si="19"/>
        <v>1.7373102986873744E-2</v>
      </c>
      <c r="M59" s="133">
        <f t="shared" si="19"/>
        <v>-3.3723637637475658E-3</v>
      </c>
      <c r="N59" s="133">
        <f t="shared" si="19"/>
        <v>0</v>
      </c>
      <c r="O59" s="133">
        <f t="shared" ca="1" si="19"/>
        <v>0</v>
      </c>
      <c r="P59" s="133">
        <f t="shared" ca="1" si="19"/>
        <v>0</v>
      </c>
      <c r="Q59" s="133">
        <f t="shared" ca="1" si="19"/>
        <v>0</v>
      </c>
      <c r="R59" s="133">
        <f t="shared" ca="1" si="19"/>
        <v>0</v>
      </c>
      <c r="S59" s="133">
        <f t="shared" ca="1" si="19"/>
        <v>0</v>
      </c>
      <c r="T59" s="133"/>
    </row>
    <row r="60" spans="3:20" ht="12.75" customHeight="1">
      <c r="H60" s="134"/>
    </row>
    <row r="61" spans="3:20" ht="12.75" customHeight="1">
      <c r="D61" s="141" t="s">
        <v>98</v>
      </c>
      <c r="E61" s="141"/>
      <c r="F61" s="142"/>
      <c r="G61" s="142"/>
      <c r="H61" s="143"/>
      <c r="I61" s="142">
        <f t="shared" ref="I61:S61" si="20">I42+I46+I48+I52+I55+I58</f>
        <v>53.123790752979943</v>
      </c>
      <c r="J61" s="142">
        <f t="shared" si="20"/>
        <v>-39.20711877795577</v>
      </c>
      <c r="K61" s="142">
        <f t="shared" si="20"/>
        <v>54.230659495382071</v>
      </c>
      <c r="L61" s="142">
        <f t="shared" si="20"/>
        <v>93.307494382811171</v>
      </c>
      <c r="M61" s="142">
        <f t="shared" si="20"/>
        <v>59.287351410943529</v>
      </c>
      <c r="N61" s="142">
        <f t="shared" ca="1" si="20"/>
        <v>62.4283038004275</v>
      </c>
      <c r="O61" s="142">
        <f t="shared" ca="1" si="20"/>
        <v>64.496948724014473</v>
      </c>
      <c r="P61" s="142">
        <f t="shared" ca="1" si="20"/>
        <v>66.390575476843253</v>
      </c>
      <c r="Q61" s="142">
        <f t="shared" ca="1" si="20"/>
        <v>68.097053515050533</v>
      </c>
      <c r="R61" s="142">
        <f t="shared" ca="1" si="20"/>
        <v>69.605128685004487</v>
      </c>
      <c r="S61" s="142">
        <f t="shared" ca="1" si="20"/>
        <v>70.904532381837697</v>
      </c>
      <c r="T61" s="142"/>
    </row>
    <row r="62" spans="3:20" ht="12.75" customHeight="1">
      <c r="H62" s="129"/>
    </row>
    <row r="63" spans="3:20" ht="12.75" customHeight="1">
      <c r="D63" s="44" t="s">
        <v>92</v>
      </c>
      <c r="H63" s="129"/>
      <c r="I63" s="144">
        <f t="shared" ref="I63:S63" si="21">-I18*I61</f>
        <v>-53.123790752979943</v>
      </c>
      <c r="J63" s="17">
        <f t="shared" si="21"/>
        <v>2.683581025185167E-2</v>
      </c>
      <c r="K63" s="17">
        <f t="shared" si="21"/>
        <v>0</v>
      </c>
      <c r="L63" s="17">
        <f t="shared" si="21"/>
        <v>0</v>
      </c>
      <c r="M63" s="17">
        <f t="shared" si="21"/>
        <v>0</v>
      </c>
      <c r="N63" s="17">
        <f t="shared" ca="1" si="21"/>
        <v>0</v>
      </c>
      <c r="O63" s="17">
        <f t="shared" ca="1" si="21"/>
        <v>0</v>
      </c>
      <c r="P63" s="17">
        <f t="shared" ca="1" si="21"/>
        <v>0</v>
      </c>
      <c r="Q63" s="17">
        <f t="shared" ca="1" si="21"/>
        <v>0</v>
      </c>
      <c r="R63" s="17">
        <f t="shared" ca="1" si="21"/>
        <v>0</v>
      </c>
      <c r="S63" s="17">
        <f t="shared" ca="1" si="21"/>
        <v>0</v>
      </c>
      <c r="T63" s="17"/>
    </row>
    <row r="64" spans="3:20" ht="12.75" customHeight="1">
      <c r="D64" s="141" t="s">
        <v>99</v>
      </c>
      <c r="E64" s="141"/>
      <c r="F64" s="141"/>
      <c r="G64" s="141"/>
      <c r="H64" s="145"/>
      <c r="I64" s="146">
        <f t="shared" ref="I64:S64" si="22">I63+I61</f>
        <v>0</v>
      </c>
      <c r="J64" s="142">
        <f t="shared" si="22"/>
        <v>-39.180282967703917</v>
      </c>
      <c r="K64" s="142">
        <f t="shared" si="22"/>
        <v>54.230659495382071</v>
      </c>
      <c r="L64" s="142">
        <f t="shared" si="22"/>
        <v>93.307494382811171</v>
      </c>
      <c r="M64" s="142">
        <f t="shared" si="22"/>
        <v>59.287351410943529</v>
      </c>
      <c r="N64" s="142">
        <f t="shared" ca="1" si="22"/>
        <v>62.4283038004275</v>
      </c>
      <c r="O64" s="142">
        <f t="shared" ca="1" si="22"/>
        <v>64.496948724014473</v>
      </c>
      <c r="P64" s="142">
        <f t="shared" ca="1" si="22"/>
        <v>66.390575476843253</v>
      </c>
      <c r="Q64" s="142">
        <f t="shared" ca="1" si="22"/>
        <v>68.097053515050533</v>
      </c>
      <c r="R64" s="142">
        <f t="shared" ca="1" si="22"/>
        <v>69.605128685004487</v>
      </c>
      <c r="S64" s="142">
        <f t="shared" ca="1" si="22"/>
        <v>70.904532381837697</v>
      </c>
      <c r="T64" s="142"/>
    </row>
    <row r="65" spans="4:20" ht="12.75" customHeight="1">
      <c r="H65" s="129"/>
    </row>
    <row r="66" spans="4:20" ht="12.75" customHeight="1">
      <c r="D66" s="147" t="s">
        <v>100</v>
      </c>
      <c r="E66" s="147"/>
      <c r="F66" s="147"/>
      <c r="G66" s="147"/>
      <c r="H66" s="148"/>
      <c r="I66" s="149">
        <f>(I22-F7)/2</f>
        <v>0</v>
      </c>
      <c r="J66" s="150">
        <f t="shared" ref="J66:S66" si="23">I66+365.25</f>
        <v>365.25</v>
      </c>
      <c r="K66" s="150">
        <f t="shared" si="23"/>
        <v>730.5</v>
      </c>
      <c r="L66" s="150">
        <f t="shared" si="23"/>
        <v>1095.75</v>
      </c>
      <c r="M66" s="150">
        <f t="shared" si="23"/>
        <v>1461</v>
      </c>
      <c r="N66" s="150">
        <f t="shared" si="23"/>
        <v>1826.25</v>
      </c>
      <c r="O66" s="150">
        <f t="shared" si="23"/>
        <v>2191.5</v>
      </c>
      <c r="P66" s="150">
        <f t="shared" si="23"/>
        <v>2556.75</v>
      </c>
      <c r="Q66" s="150">
        <f t="shared" si="23"/>
        <v>2922</v>
      </c>
      <c r="R66" s="150">
        <f t="shared" si="23"/>
        <v>3287.25</v>
      </c>
      <c r="S66" s="150">
        <f t="shared" si="23"/>
        <v>3652.5</v>
      </c>
      <c r="T66" s="150"/>
    </row>
    <row r="67" spans="4:20" ht="12.75" customHeight="1">
      <c r="D67" s="151" t="s">
        <v>101</v>
      </c>
      <c r="E67" s="151"/>
      <c r="F67" s="151"/>
      <c r="G67" s="151"/>
      <c r="H67" s="152"/>
      <c r="I67" s="153">
        <f t="shared" ref="I67:S67" si="24">1/((1+$F$11)^(I66/365.25))</f>
        <v>1</v>
      </c>
      <c r="J67" s="154">
        <f t="shared" si="24"/>
        <v>0.92165898617511521</v>
      </c>
      <c r="K67" s="154">
        <f t="shared" si="24"/>
        <v>0.84945528679734128</v>
      </c>
      <c r="L67" s="154">
        <f t="shared" si="24"/>
        <v>0.78290809843072917</v>
      </c>
      <c r="M67" s="154">
        <f t="shared" si="24"/>
        <v>0.72157428426795334</v>
      </c>
      <c r="N67" s="154">
        <f t="shared" si="24"/>
        <v>0.66504542328843619</v>
      </c>
      <c r="O67" s="154">
        <f t="shared" si="24"/>
        <v>0.6129450905884205</v>
      </c>
      <c r="P67" s="154">
        <f t="shared" si="24"/>
        <v>0.56492635077273778</v>
      </c>
      <c r="Q67" s="154">
        <f t="shared" si="24"/>
        <v>0.52066944771680901</v>
      </c>
      <c r="R67" s="154">
        <f t="shared" si="24"/>
        <v>0.4798796753150314</v>
      </c>
      <c r="S67" s="154">
        <f t="shared" si="24"/>
        <v>0.44228541503689528</v>
      </c>
      <c r="T67" s="154"/>
    </row>
    <row r="68" spans="4:20" ht="12.75" customHeight="1">
      <c r="R68" s="17"/>
      <c r="S68" s="17"/>
      <c r="T68" s="17"/>
    </row>
    <row r="69" spans="4:20" ht="12.75" customHeight="1">
      <c r="D69" s="88" t="s">
        <v>102</v>
      </c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 t="s">
        <v>103</v>
      </c>
      <c r="Q69" s="88"/>
      <c r="R69" s="88"/>
      <c r="S69" s="88"/>
      <c r="T69" s="155">
        <f ca="1">S64*(1+F9)/(F11-F9)</f>
        <v>890.73818804683606</v>
      </c>
    </row>
    <row r="70" spans="4:20" ht="12.75" customHeight="1"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 t="s">
        <v>104</v>
      </c>
      <c r="Q70" s="60"/>
      <c r="R70" s="60"/>
      <c r="S70" s="60"/>
      <c r="T70" s="156">
        <f ca="1">S27*F10</f>
        <v>1206.6879826061113</v>
      </c>
    </row>
    <row r="71" spans="4:20" ht="12.75" customHeight="1">
      <c r="Q71" s="17"/>
      <c r="R71" s="17"/>
      <c r="S71" s="17"/>
      <c r="T71" s="17"/>
    </row>
    <row r="72" spans="4:20" ht="12.75" customHeight="1">
      <c r="F72" s="12" t="s">
        <v>105</v>
      </c>
      <c r="G72" s="12"/>
      <c r="H72" s="12"/>
      <c r="I72" s="12"/>
      <c r="L72" s="12" t="s">
        <v>106</v>
      </c>
      <c r="M72" s="12"/>
      <c r="N72" s="12"/>
      <c r="O72" s="12"/>
    </row>
    <row r="73" spans="4:20" ht="4.5" customHeight="1"/>
    <row r="74" spans="4:20" ht="12.75" customHeight="1">
      <c r="F74" s="60" t="s">
        <v>107</v>
      </c>
      <c r="G74" s="60"/>
      <c r="H74" s="157" t="s">
        <v>108</v>
      </c>
      <c r="I74" s="157" t="s">
        <v>109</v>
      </c>
      <c r="L74" s="60" t="s">
        <v>107</v>
      </c>
      <c r="M74" s="158"/>
      <c r="N74" s="157" t="s">
        <v>108</v>
      </c>
      <c r="O74" s="157" t="s">
        <v>109</v>
      </c>
    </row>
    <row r="75" spans="4:20" ht="12.75" customHeight="1">
      <c r="F75" t="s">
        <v>110</v>
      </c>
      <c r="H75" s="159">
        <f ca="1">SUMPRODUCT($I$64:$T$64,$I$67:$T$67)</f>
        <v>344.56179535909706</v>
      </c>
      <c r="I75" s="119">
        <f ca="1">H75/$H$77</f>
        <v>0.4665557068095415</v>
      </c>
      <c r="L75" t="s">
        <v>110</v>
      </c>
      <c r="N75" s="16">
        <f ca="1">SUMPRODUCT($G$64:$T$64,$G$67:$T$67)</f>
        <v>344.56179535909706</v>
      </c>
      <c r="O75" s="119">
        <f ca="1">N75/$N$77</f>
        <v>0.37305303779150545</v>
      </c>
    </row>
    <row r="76" spans="4:20" ht="12.75" customHeight="1">
      <c r="F76" t="s">
        <v>111</v>
      </c>
      <c r="H76" s="159">
        <f ca="1">T69*S67</f>
        <v>393.96050918950698</v>
      </c>
      <c r="I76" s="119">
        <f ca="1">H76/$H$77</f>
        <v>0.53344429445057606</v>
      </c>
      <c r="L76" t="s">
        <v>111</v>
      </c>
      <c r="N76" s="16">
        <f ca="1">T70*R67</f>
        <v>579.06503729957092</v>
      </c>
      <c r="O76" s="119">
        <f ca="1">N76/$N$77</f>
        <v>0.62694696322417731</v>
      </c>
    </row>
    <row r="77" spans="4:20" ht="12.75" customHeight="1">
      <c r="F77" s="160" t="s">
        <v>112</v>
      </c>
      <c r="G77" s="141"/>
      <c r="H77" s="161">
        <f ca="1">SUM(H75:H76)</f>
        <v>738.5223045486041</v>
      </c>
      <c r="I77" s="162">
        <f ca="1">SUM(I75:I76)</f>
        <v>1.0000000012601176</v>
      </c>
      <c r="L77" s="160" t="s">
        <v>112</v>
      </c>
      <c r="M77" s="141"/>
      <c r="N77" s="163">
        <f ca="1">SUM(N75:N76)</f>
        <v>923.62683265866804</v>
      </c>
      <c r="O77" s="162">
        <f ca="1">SUM(O75:O76)</f>
        <v>1.0000000010156826</v>
      </c>
    </row>
    <row r="78" spans="4:20" ht="12.75" customHeight="1">
      <c r="F78" t="s">
        <v>113</v>
      </c>
      <c r="H78" s="68">
        <f>-SUM(Assumptions!$D$19:$D$22)</f>
        <v>-84.616813539585507</v>
      </c>
      <c r="I78" s="164"/>
      <c r="L78" t="s">
        <v>113</v>
      </c>
      <c r="N78" s="68">
        <f>-SUM(Assumptions!$D$19:$D$22)</f>
        <v>-84.616813539585507</v>
      </c>
      <c r="O78" s="164"/>
    </row>
    <row r="79" spans="4:20" ht="12.75" customHeight="1">
      <c r="F79" s="160" t="s">
        <v>114</v>
      </c>
      <c r="G79" s="141"/>
      <c r="H79" s="161">
        <f ca="1">H77+H78</f>
        <v>653.90549100901853</v>
      </c>
      <c r="I79" s="162"/>
      <c r="L79" s="160" t="s">
        <v>114</v>
      </c>
      <c r="M79" s="141"/>
      <c r="N79" s="163">
        <f ca="1">N77+N78</f>
        <v>839.01001911908247</v>
      </c>
      <c r="O79" s="162"/>
    </row>
    <row r="80" spans="4:20" ht="12.75" customHeight="1">
      <c r="F80" s="147" t="s">
        <v>115</v>
      </c>
      <c r="G80" s="147"/>
      <c r="H80" s="165">
        <f ca="1">H79/Assumptions!$D$17*100</f>
        <v>328.59572412513495</v>
      </c>
      <c r="I80" s="166"/>
      <c r="L80" s="147" t="s">
        <v>115</v>
      </c>
      <c r="M80" s="147"/>
      <c r="N80" s="167">
        <f ca="1">N79/Assumptions!$D$17*100</f>
        <v>421.61307493421231</v>
      </c>
      <c r="O80" s="166"/>
    </row>
    <row r="81" spans="4:20" ht="12.75" customHeight="1">
      <c r="F81" s="168" t="s">
        <v>116</v>
      </c>
      <c r="G81" s="151"/>
      <c r="H81" s="169">
        <f ca="1">H80/Assumptions!$D$16-1</f>
        <v>0.99148923712203008</v>
      </c>
      <c r="I81" s="170"/>
      <c r="L81" s="168" t="s">
        <v>116</v>
      </c>
      <c r="M81" s="151"/>
      <c r="N81" s="171">
        <f ca="1">N80/Assumptions!$D$16-1</f>
        <v>1.5552307571770441</v>
      </c>
      <c r="O81" s="170"/>
    </row>
    <row r="82" spans="4:20" ht="12.75" customHeight="1">
      <c r="H82" s="17"/>
    </row>
    <row r="83" spans="4:20" ht="12.75" customHeight="1">
      <c r="D83" s="12" t="s">
        <v>117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4:20" ht="4.5" customHeight="1"/>
    <row r="85" spans="4:20" ht="12.75" customHeight="1">
      <c r="D85" s="60" t="s">
        <v>118</v>
      </c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88"/>
    </row>
    <row r="87" spans="4:20" ht="12.75" customHeight="1">
      <c r="E87" s="172" t="s">
        <v>88</v>
      </c>
      <c r="F87" s="173">
        <v>5.0000000000000001E-3</v>
      </c>
      <c r="G87" s="172" t="s">
        <v>119</v>
      </c>
      <c r="I87" s="174">
        <v>2.5000000000000001E-3</v>
      </c>
      <c r="L87" s="172" t="s">
        <v>120</v>
      </c>
      <c r="M87" s="175">
        <v>8.5</v>
      </c>
      <c r="N87" s="172" t="s">
        <v>121</v>
      </c>
      <c r="P87" s="175">
        <v>0.5</v>
      </c>
    </row>
    <row r="88" spans="4:20" ht="12.75" customHeight="1">
      <c r="E88" s="172" t="s">
        <v>122</v>
      </c>
      <c r="F88" s="173">
        <v>8.5000000000000006E-2</v>
      </c>
      <c r="G88" s="172" t="s">
        <v>123</v>
      </c>
      <c r="I88" s="174">
        <v>5.0000000000000001E-3</v>
      </c>
      <c r="L88" s="172" t="s">
        <v>122</v>
      </c>
      <c r="M88" s="176">
        <f>F88</f>
        <v>8.5000000000000006E-2</v>
      </c>
      <c r="N88" s="172" t="s">
        <v>123</v>
      </c>
      <c r="P88" s="177">
        <f>I88</f>
        <v>5.0000000000000001E-3</v>
      </c>
    </row>
    <row r="90" spans="4:20" ht="12.75" customHeight="1">
      <c r="E90" s="178" t="s">
        <v>124</v>
      </c>
      <c r="F90" s="178"/>
      <c r="G90" s="178"/>
      <c r="H90" s="178"/>
      <c r="I90" s="178"/>
      <c r="J90" s="178"/>
      <c r="L90" s="178" t="s">
        <v>125</v>
      </c>
      <c r="M90" s="178"/>
      <c r="N90" s="178"/>
      <c r="O90" s="178"/>
      <c r="P90" s="178"/>
      <c r="Q90" s="178"/>
    </row>
    <row r="91" spans="4:20" ht="4.5" customHeight="1"/>
    <row r="92" spans="4:20" ht="12.75" customHeight="1">
      <c r="E92" s="179" t="s">
        <v>126</v>
      </c>
      <c r="F92" s="60"/>
      <c r="G92" s="60"/>
      <c r="H92" s="60"/>
      <c r="I92" s="60"/>
      <c r="J92" s="60"/>
      <c r="L92" s="179" t="s">
        <v>126</v>
      </c>
      <c r="M92" s="60"/>
      <c r="N92" s="60"/>
      <c r="O92" s="60"/>
      <c r="P92" s="60"/>
      <c r="Q92" s="60"/>
    </row>
    <row r="93" spans="4:20" ht="12.75" customHeight="1">
      <c r="E93" s="180" t="s">
        <v>127</v>
      </c>
      <c r="F93" s="181" t="s">
        <v>128</v>
      </c>
      <c r="G93" s="182"/>
      <c r="H93" s="182"/>
      <c r="I93" s="182"/>
      <c r="J93" s="183"/>
      <c r="L93" s="180" t="s">
        <v>127</v>
      </c>
      <c r="M93" s="182" t="s">
        <v>129</v>
      </c>
      <c r="N93" s="182"/>
      <c r="O93" s="182"/>
      <c r="P93" s="182"/>
      <c r="Q93" s="183"/>
    </row>
    <row r="94" spans="4:20" ht="12.75" customHeight="1">
      <c r="E94" s="184">
        <f ca="1">H77</f>
        <v>738.5223045486041</v>
      </c>
      <c r="F94" s="185">
        <f>G94-$I$87</f>
        <v>0</v>
      </c>
      <c r="G94" s="185">
        <f>H94-$I$87</f>
        <v>2.5000000000000001E-3</v>
      </c>
      <c r="H94" s="186">
        <f>$F$87</f>
        <v>5.0000000000000001E-3</v>
      </c>
      <c r="I94" s="185">
        <f>H94+$I$87</f>
        <v>7.4999999999999997E-3</v>
      </c>
      <c r="J94" s="187">
        <f>I94+$I$87</f>
        <v>0.01</v>
      </c>
      <c r="L94" s="188">
        <f ca="1">N77</f>
        <v>923.62683265866804</v>
      </c>
      <c r="M94" s="189">
        <f>N94-$P$87</f>
        <v>7.5</v>
      </c>
      <c r="N94" s="189">
        <f>O94-$P$87</f>
        <v>8</v>
      </c>
      <c r="O94" s="190">
        <f>$M$87</f>
        <v>8.5</v>
      </c>
      <c r="P94" s="189">
        <f>O94+$P$87</f>
        <v>9</v>
      </c>
      <c r="Q94" s="191">
        <f>P94+$P$87</f>
        <v>9.5</v>
      </c>
    </row>
    <row r="95" spans="4:20" ht="12.75" customHeight="1">
      <c r="E95" s="192">
        <f>E96-$I$88</f>
        <v>7.4999999999999997E-2</v>
      </c>
      <c r="F95" s="193"/>
      <c r="G95" s="194" t="e">
        <f>#VALUE!</f>
        <v>#VALUE!</v>
      </c>
      <c r="H95" s="195" t="e">
        <f>#VALUE!</f>
        <v>#VALUE!</v>
      </c>
      <c r="I95" s="194" t="e">
        <f>#VALUE!</f>
        <v>#VALUE!</v>
      </c>
      <c r="J95" s="196" t="e">
        <f>#VALUE!</f>
        <v>#VALUE!</v>
      </c>
      <c r="L95" s="192">
        <f>L96-$I$88</f>
        <v>7.4999999999999997E-2</v>
      </c>
      <c r="M95" s="197"/>
      <c r="N95" s="198" t="e">
        <f>#VALUE!</f>
        <v>#VALUE!</v>
      </c>
      <c r="O95" s="198" t="e">
        <f>#VALUE!</f>
        <v>#VALUE!</v>
      </c>
      <c r="P95" s="198" t="e">
        <f>#VALUE!</f>
        <v>#VALUE!</v>
      </c>
      <c r="Q95" s="199" t="e">
        <f>#VALUE!</f>
        <v>#VALUE!</v>
      </c>
    </row>
    <row r="96" spans="4:20" ht="12.75" customHeight="1">
      <c r="E96" s="192">
        <f>E97-$I$88</f>
        <v>0.08</v>
      </c>
      <c r="F96" s="200" t="e">
        <f>#VALUE!</f>
        <v>#VALUE!</v>
      </c>
      <c r="G96" s="201" t="e">
        <f>#VALUE!</f>
        <v>#VALUE!</v>
      </c>
      <c r="H96" s="195" t="e">
        <f>#VALUE!</f>
        <v>#VALUE!</v>
      </c>
      <c r="I96" s="201" t="e">
        <f>#VALUE!</f>
        <v>#VALUE!</v>
      </c>
      <c r="J96" s="202" t="e">
        <f>#VALUE!</f>
        <v>#VALUE!</v>
      </c>
      <c r="L96" s="192">
        <f>L97-$I$88</f>
        <v>0.08</v>
      </c>
      <c r="M96" s="203" t="e">
        <f>#VALUE!</f>
        <v>#VALUE!</v>
      </c>
      <c r="N96" s="204" t="e">
        <f>#VALUE!</f>
        <v>#VALUE!</v>
      </c>
      <c r="O96" s="205" t="e">
        <f>#VALUE!</f>
        <v>#VALUE!</v>
      </c>
      <c r="P96" s="204" t="e">
        <f>#VALUE!</f>
        <v>#VALUE!</v>
      </c>
      <c r="Q96" s="206" t="e">
        <f>#VALUE!</f>
        <v>#VALUE!</v>
      </c>
      <c r="R96" s="207"/>
      <c r="S96" s="207"/>
      <c r="T96" s="207"/>
    </row>
    <row r="97" spans="4:20" ht="12.75" customHeight="1">
      <c r="E97" s="208">
        <f>$F$88</f>
        <v>8.5000000000000006E-2</v>
      </c>
      <c r="F97" s="200" t="e">
        <f>#VALUE!</f>
        <v>#VALUE!</v>
      </c>
      <c r="G97" s="195" t="e">
        <f>#VALUE!</f>
        <v>#VALUE!</v>
      </c>
      <c r="H97" s="201" t="e">
        <f>#VALUE!</f>
        <v>#VALUE!</v>
      </c>
      <c r="I97" s="195" t="e">
        <f>#VALUE!</f>
        <v>#VALUE!</v>
      </c>
      <c r="J97" s="202" t="e">
        <f>#VALUE!</f>
        <v>#VALUE!</v>
      </c>
      <c r="L97" s="208">
        <f>$M$88</f>
        <v>8.5000000000000006E-2</v>
      </c>
      <c r="M97" s="203" t="e">
        <f>#VALUE!</f>
        <v>#VALUE!</v>
      </c>
      <c r="N97" s="205" t="e">
        <f>#VALUE!</f>
        <v>#VALUE!</v>
      </c>
      <c r="O97" s="204" t="e">
        <f>#VALUE!</f>
        <v>#VALUE!</v>
      </c>
      <c r="P97" s="205" t="e">
        <f>#VALUE!</f>
        <v>#VALUE!</v>
      </c>
      <c r="Q97" s="206" t="e">
        <f>#VALUE!</f>
        <v>#VALUE!</v>
      </c>
      <c r="R97" s="207"/>
      <c r="S97" s="207"/>
      <c r="T97" s="207"/>
    </row>
    <row r="98" spans="4:20" ht="12.75" customHeight="1">
      <c r="E98" s="209">
        <f>E97+$I$88</f>
        <v>9.0000000000000011E-2</v>
      </c>
      <c r="F98" s="200" t="e">
        <f>#VALUE!</f>
        <v>#VALUE!</v>
      </c>
      <c r="G98" s="201" t="e">
        <f>#VALUE!</f>
        <v>#VALUE!</v>
      </c>
      <c r="H98" s="195" t="e">
        <f>#VALUE!</f>
        <v>#VALUE!</v>
      </c>
      <c r="I98" s="201" t="e">
        <f>#VALUE!</f>
        <v>#VALUE!</v>
      </c>
      <c r="J98" s="202" t="e">
        <f>#VALUE!</f>
        <v>#VALUE!</v>
      </c>
      <c r="L98" s="209">
        <f>L97+$I$88</f>
        <v>9.0000000000000011E-2</v>
      </c>
      <c r="M98" s="203" t="e">
        <f>#VALUE!</f>
        <v>#VALUE!</v>
      </c>
      <c r="N98" s="204" t="e">
        <f>#VALUE!</f>
        <v>#VALUE!</v>
      </c>
      <c r="O98" s="205" t="e">
        <f>#VALUE!</f>
        <v>#VALUE!</v>
      </c>
      <c r="P98" s="204" t="e">
        <f>#VALUE!</f>
        <v>#VALUE!</v>
      </c>
      <c r="Q98" s="206" t="e">
        <f>#VALUE!</f>
        <v>#VALUE!</v>
      </c>
      <c r="R98" s="207"/>
      <c r="S98" s="207"/>
      <c r="T98" s="207"/>
    </row>
    <row r="99" spans="4:20" ht="12.75" customHeight="1">
      <c r="E99" s="210">
        <f>E98+$I$88</f>
        <v>9.5000000000000015E-2</v>
      </c>
      <c r="F99" s="211" t="e">
        <f>#VALUE!</f>
        <v>#VALUE!</v>
      </c>
      <c r="G99" s="212" t="e">
        <f>#VALUE!</f>
        <v>#VALUE!</v>
      </c>
      <c r="H99" s="212" t="e">
        <f>#VALUE!</f>
        <v>#VALUE!</v>
      </c>
      <c r="I99" s="212" t="e">
        <f>#VALUE!</f>
        <v>#VALUE!</v>
      </c>
      <c r="J99" s="213" t="e">
        <f>#VALUE!</f>
        <v>#VALUE!</v>
      </c>
      <c r="L99" s="210">
        <f>L98+$I$88</f>
        <v>9.5000000000000015E-2</v>
      </c>
      <c r="M99" s="214" t="e">
        <f>#VALUE!</f>
        <v>#VALUE!</v>
      </c>
      <c r="N99" s="215" t="e">
        <f>#VALUE!</f>
        <v>#VALUE!</v>
      </c>
      <c r="O99" s="215" t="e">
        <f>#VALUE!</f>
        <v>#VALUE!</v>
      </c>
      <c r="P99" s="215" t="e">
        <f>#VALUE!</f>
        <v>#VALUE!</v>
      </c>
      <c r="Q99" s="216" t="e">
        <f>#VALUE!</f>
        <v>#VALUE!</v>
      </c>
      <c r="R99" s="207"/>
      <c r="S99" s="207"/>
      <c r="T99" s="207"/>
    </row>
    <row r="101" spans="4:20" ht="12.75" customHeight="1">
      <c r="E101" s="179" t="s">
        <v>130</v>
      </c>
      <c r="F101" s="60"/>
      <c r="G101" s="60"/>
      <c r="H101" s="60"/>
      <c r="I101" s="60"/>
      <c r="J101" s="60"/>
      <c r="L101" s="179" t="s">
        <v>130</v>
      </c>
      <c r="M101" s="60"/>
      <c r="N101" s="60"/>
      <c r="O101" s="60"/>
      <c r="P101" s="60"/>
      <c r="Q101" s="60"/>
    </row>
    <row r="102" spans="4:20" ht="12.75" customHeight="1">
      <c r="E102" s="180" t="s">
        <v>127</v>
      </c>
      <c r="F102" s="181" t="s">
        <v>128</v>
      </c>
      <c r="G102" s="182"/>
      <c r="H102" s="182"/>
      <c r="I102" s="182"/>
      <c r="J102" s="183"/>
      <c r="L102" s="180" t="s">
        <v>127</v>
      </c>
      <c r="M102" s="182" t="s">
        <v>129</v>
      </c>
      <c r="N102" s="182"/>
      <c r="O102" s="182"/>
      <c r="P102" s="182"/>
      <c r="Q102" s="183"/>
    </row>
    <row r="103" spans="4:20" ht="12.75" customHeight="1">
      <c r="E103" s="188">
        <f ca="1">H80</f>
        <v>328.59572412513495</v>
      </c>
      <c r="F103" s="217">
        <f>G103-$I$87</f>
        <v>0</v>
      </c>
      <c r="G103" s="217">
        <f>H103-$I$87</f>
        <v>2.5000000000000001E-3</v>
      </c>
      <c r="H103" s="218">
        <f>$F$87</f>
        <v>5.0000000000000001E-3</v>
      </c>
      <c r="I103" s="217">
        <f>H103+$I$87</f>
        <v>7.4999999999999997E-3</v>
      </c>
      <c r="J103" s="219">
        <f>I103+$I$87</f>
        <v>0.01</v>
      </c>
      <c r="L103" s="188">
        <f ca="1">N80</f>
        <v>421.61307493421231</v>
      </c>
      <c r="M103" s="220">
        <f>N103-$P$87</f>
        <v>7.5</v>
      </c>
      <c r="N103" s="220">
        <f>O103-$P$87</f>
        <v>8</v>
      </c>
      <c r="O103" s="221">
        <f>$M$87</f>
        <v>8.5</v>
      </c>
      <c r="P103" s="220">
        <f>O103+$P$87</f>
        <v>9</v>
      </c>
      <c r="Q103" s="222">
        <f>P103+$P$87</f>
        <v>9.5</v>
      </c>
    </row>
    <row r="104" spans="4:20" ht="12.75" customHeight="1">
      <c r="E104" s="192">
        <f>E105-$I$88</f>
        <v>7.4999999999999997E-2</v>
      </c>
      <c r="F104" s="223">
        <f>(F95-SUM(Assumptions!$D$19:$D$22))/Assumptions!$D$17*100</f>
        <v>-42.521011828937439</v>
      </c>
      <c r="G104" s="224" t="e">
        <f>(G95-SUM(Assumptions!$D$19:$D$22))/Assumptions!$D$17*100</f>
        <v>#VALUE!</v>
      </c>
      <c r="H104" s="225" t="e">
        <f>(H95-SUM(Assumptions!$D$19:$D$22))/Assumptions!$D$17*100</f>
        <v>#VALUE!</v>
      </c>
      <c r="I104" s="224" t="e">
        <f>(I95-SUM(Assumptions!$D$19:$D$22))/Assumptions!$D$17*100</f>
        <v>#VALUE!</v>
      </c>
      <c r="J104" s="226" t="e">
        <f>(J95-SUM(Assumptions!$D$19:$D$22))/Assumptions!$D$17*100</f>
        <v>#VALUE!</v>
      </c>
      <c r="L104" s="192">
        <f>L105-$I$88</f>
        <v>7.4999999999999997E-2</v>
      </c>
      <c r="M104" s="227">
        <f>(M95-SUM(Assumptions!$D$19:$D$22))/Assumptions!$D$17*100</f>
        <v>-42.521011828937439</v>
      </c>
      <c r="N104" s="165" t="e">
        <f>(N95-SUM(Assumptions!$D$19:$D$22))/Assumptions!$D$17*100</f>
        <v>#VALUE!</v>
      </c>
      <c r="O104" s="207" t="e">
        <f>(O95-SUM(Assumptions!$D$19:$D$22))/Assumptions!$D$17*100</f>
        <v>#VALUE!</v>
      </c>
      <c r="P104" s="165" t="e">
        <f>(P95-SUM(Assumptions!$D$19:$D$22))/Assumptions!$D$17*100</f>
        <v>#VALUE!</v>
      </c>
      <c r="Q104" s="228" t="e">
        <f>(Q95-SUM(Assumptions!$D$19:$D$22))/Assumptions!$D$17*100</f>
        <v>#VALUE!</v>
      </c>
    </row>
    <row r="105" spans="4:20" ht="12.75" customHeight="1">
      <c r="E105" s="192">
        <f>E106-$I$88</f>
        <v>0.08</v>
      </c>
      <c r="F105" s="229" t="e">
        <f>(F96-SUM(Assumptions!$D$19:$D$22))/Assumptions!$D$17*100</f>
        <v>#VALUE!</v>
      </c>
      <c r="G105" s="230" t="e">
        <f>(G96-SUM(Assumptions!$D$19:$D$22))/Assumptions!$D$17*100</f>
        <v>#VALUE!</v>
      </c>
      <c r="H105" s="225" t="e">
        <f>(H96-SUM(Assumptions!$D$19:$D$22))/Assumptions!$D$17*100</f>
        <v>#VALUE!</v>
      </c>
      <c r="I105" s="230" t="e">
        <f>(I96-SUM(Assumptions!$D$19:$D$22))/Assumptions!$D$17*100</f>
        <v>#VALUE!</v>
      </c>
      <c r="J105" s="231" t="e">
        <f>(J96-SUM(Assumptions!$D$19:$D$22))/Assumptions!$D$17*100</f>
        <v>#VALUE!</v>
      </c>
      <c r="L105" s="192">
        <f>L106-$I$88</f>
        <v>0.08</v>
      </c>
      <c r="M105" s="232" t="e">
        <f>(M96-SUM(Assumptions!$D$19:$D$22))/Assumptions!$D$17*100</f>
        <v>#VALUE!</v>
      </c>
      <c r="N105" s="233" t="e">
        <f>(N96-SUM(Assumptions!$D$19:$D$22))/Assumptions!$D$17*100</f>
        <v>#VALUE!</v>
      </c>
      <c r="O105" s="207" t="e">
        <f>(O96-SUM(Assumptions!$D$19:$D$22))/Assumptions!$D$17*100</f>
        <v>#VALUE!</v>
      </c>
      <c r="P105" s="233" t="e">
        <f>(P96-SUM(Assumptions!$D$19:$D$22))/Assumptions!$D$17*100</f>
        <v>#VALUE!</v>
      </c>
      <c r="Q105" s="234" t="e">
        <f>(Q96-SUM(Assumptions!$D$19:$D$22))/Assumptions!$D$17*100</f>
        <v>#VALUE!</v>
      </c>
    </row>
    <row r="106" spans="4:20" ht="12.75" customHeight="1">
      <c r="E106" s="208">
        <f>$F$88</f>
        <v>8.5000000000000006E-2</v>
      </c>
      <c r="F106" s="229" t="e">
        <f>(F97-SUM(Assumptions!$D$19:$D$22))/Assumptions!$D$17*100</f>
        <v>#VALUE!</v>
      </c>
      <c r="G106" s="225" t="e">
        <f>(G97-SUM(Assumptions!$D$19:$D$22))/Assumptions!$D$17*100</f>
        <v>#VALUE!</v>
      </c>
      <c r="H106" s="230" t="e">
        <f>(H97-SUM(Assumptions!$D$19:$D$22))/Assumptions!$D$17*100</f>
        <v>#VALUE!</v>
      </c>
      <c r="I106" s="225" t="e">
        <f>(I97-SUM(Assumptions!$D$19:$D$22))/Assumptions!$D$17*100</f>
        <v>#VALUE!</v>
      </c>
      <c r="J106" s="231" t="e">
        <f>(J97-SUM(Assumptions!$D$19:$D$22))/Assumptions!$D$17*100</f>
        <v>#VALUE!</v>
      </c>
      <c r="L106" s="208">
        <f>$M$88</f>
        <v>8.5000000000000006E-2</v>
      </c>
      <c r="M106" s="232" t="e">
        <f>(M97-SUM(Assumptions!$D$19:$D$22))/Assumptions!$D$17*100</f>
        <v>#VALUE!</v>
      </c>
      <c r="N106" s="207" t="e">
        <f>(N97-SUM(Assumptions!$D$19:$D$22))/Assumptions!$D$17*100</f>
        <v>#VALUE!</v>
      </c>
      <c r="O106" s="233" t="e">
        <f>(O97-SUM(Assumptions!$D$19:$D$22))/Assumptions!$D$17*100</f>
        <v>#VALUE!</v>
      </c>
      <c r="P106" s="207" t="e">
        <f>(P97-SUM(Assumptions!$D$19:$D$22))/Assumptions!$D$17*100</f>
        <v>#VALUE!</v>
      </c>
      <c r="Q106" s="234" t="e">
        <f>(Q97-SUM(Assumptions!$D$19:$D$22))/Assumptions!$D$17*100</f>
        <v>#VALUE!</v>
      </c>
    </row>
    <row r="107" spans="4:20" ht="12.75" customHeight="1">
      <c r="E107" s="209">
        <f>E106+$I$88</f>
        <v>9.0000000000000011E-2</v>
      </c>
      <c r="F107" s="229" t="e">
        <f>(F98-SUM(Assumptions!$D$19:$D$22))/Assumptions!$D$17*100</f>
        <v>#VALUE!</v>
      </c>
      <c r="G107" s="230" t="e">
        <f>(G98-SUM(Assumptions!$D$19:$D$22))/Assumptions!$D$17*100</f>
        <v>#VALUE!</v>
      </c>
      <c r="H107" s="225" t="e">
        <f>(H98-SUM(Assumptions!$D$19:$D$22))/Assumptions!$D$17*100</f>
        <v>#VALUE!</v>
      </c>
      <c r="I107" s="230" t="e">
        <f>(I98-SUM(Assumptions!$D$19:$D$22))/Assumptions!$D$17*100</f>
        <v>#VALUE!</v>
      </c>
      <c r="J107" s="231" t="e">
        <f>(J98-SUM(Assumptions!$D$19:$D$22))/Assumptions!$D$17*100</f>
        <v>#VALUE!</v>
      </c>
      <c r="L107" s="209">
        <f>L106+$I$88</f>
        <v>9.0000000000000011E-2</v>
      </c>
      <c r="M107" s="232" t="e">
        <f>(M98-SUM(Assumptions!$D$19:$D$22))/Assumptions!$D$17*100</f>
        <v>#VALUE!</v>
      </c>
      <c r="N107" s="233" t="e">
        <f>(N98-SUM(Assumptions!$D$19:$D$22))/Assumptions!$D$17*100</f>
        <v>#VALUE!</v>
      </c>
      <c r="O107" s="207" t="e">
        <f>(O98-SUM(Assumptions!$D$19:$D$22))/Assumptions!$D$17*100</f>
        <v>#VALUE!</v>
      </c>
      <c r="P107" s="233" t="e">
        <f>(P98-SUM(Assumptions!$D$19:$D$22))/Assumptions!$D$17*100</f>
        <v>#VALUE!</v>
      </c>
      <c r="Q107" s="234" t="e">
        <f>(Q98-SUM(Assumptions!$D$19:$D$22))/Assumptions!$D$17*100</f>
        <v>#VALUE!</v>
      </c>
    </row>
    <row r="108" spans="4:20" ht="12.75" customHeight="1">
      <c r="E108" s="210">
        <f>E107+$I$88</f>
        <v>9.5000000000000015E-2</v>
      </c>
      <c r="F108" s="235" t="e">
        <f>(F99-SUM(Assumptions!$D$19:$D$22))/Assumptions!$D$17*100</f>
        <v>#VALUE!</v>
      </c>
      <c r="G108" s="236" t="e">
        <f>(G99-SUM(Assumptions!$D$19:$D$22))/Assumptions!$D$17*100</f>
        <v>#VALUE!</v>
      </c>
      <c r="H108" s="236" t="e">
        <f>(H99-SUM(Assumptions!$D$19:$D$22))/Assumptions!$D$17*100</f>
        <v>#VALUE!</v>
      </c>
      <c r="I108" s="236" t="e">
        <f>(I99-SUM(Assumptions!$D$19:$D$22))/Assumptions!$D$17*100</f>
        <v>#VALUE!</v>
      </c>
      <c r="J108" s="237" t="e">
        <f>(J99-SUM(Assumptions!$D$19:$D$22))/Assumptions!$D$17*100</f>
        <v>#VALUE!</v>
      </c>
      <c r="L108" s="210">
        <f>L107+$I$88</f>
        <v>9.5000000000000015E-2</v>
      </c>
      <c r="M108" s="238" t="e">
        <f>(M99-SUM(Assumptions!$D$19:$D$22))/Assumptions!$D$17*100</f>
        <v>#VALUE!</v>
      </c>
      <c r="N108" s="239" t="e">
        <f>(N99-SUM(Assumptions!$D$19:$D$22))/Assumptions!$D$17*100</f>
        <v>#VALUE!</v>
      </c>
      <c r="O108" s="239" t="e">
        <f>(O99-SUM(Assumptions!$D$19:$D$22))/Assumptions!$D$17*100</f>
        <v>#VALUE!</v>
      </c>
      <c r="P108" s="239" t="e">
        <f>(P99-SUM(Assumptions!$D$19:$D$22))/Assumptions!$D$17*100</f>
        <v>#VALUE!</v>
      </c>
      <c r="Q108" s="240" t="e">
        <f>(Q99-SUM(Assumptions!$D$19:$D$22))/Assumptions!$D$17*100</f>
        <v>#VALUE!</v>
      </c>
    </row>
    <row r="110" spans="4:20" ht="12.75" customHeight="1">
      <c r="D110" s="84" t="s">
        <v>79</v>
      </c>
      <c r="E110" s="86"/>
      <c r="F110" s="87"/>
      <c r="G110" s="85"/>
      <c r="H110" s="86"/>
      <c r="I110" s="87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241"/>
    </row>
    <row r="111" spans="4:20" ht="12.75" customHeight="1">
      <c r="D111" s="88" t="str">
        <f>TEXT(Assumptions!$D$11,"mmmm")&amp;" YE ($mm)"</f>
        <v>March YE ($mm)</v>
      </c>
      <c r="E111" s="89"/>
      <c r="F111" s="242">
        <f t="shared" ref="F111:S111" si="25">F22</f>
        <v>42825</v>
      </c>
      <c r="G111" s="242">
        <f t="shared" si="25"/>
        <v>1100</v>
      </c>
      <c r="H111" s="243">
        <f t="shared" si="25"/>
        <v>43555</v>
      </c>
      <c r="I111" s="243">
        <f t="shared" si="25"/>
        <v>43921</v>
      </c>
      <c r="J111" s="243">
        <f t="shared" si="25"/>
        <v>44286</v>
      </c>
      <c r="K111" s="243">
        <f t="shared" si="25"/>
        <v>44651</v>
      </c>
      <c r="L111" s="243">
        <f t="shared" si="25"/>
        <v>45016</v>
      </c>
      <c r="M111" s="243">
        <f t="shared" si="25"/>
        <v>45382</v>
      </c>
      <c r="N111" s="243">
        <f t="shared" si="25"/>
        <v>45747</v>
      </c>
      <c r="O111" s="243">
        <f t="shared" si="25"/>
        <v>46112</v>
      </c>
      <c r="P111" s="243">
        <f t="shared" si="25"/>
        <v>46477</v>
      </c>
      <c r="Q111" s="243">
        <f t="shared" si="25"/>
        <v>46843</v>
      </c>
      <c r="R111" s="243">
        <f t="shared" si="25"/>
        <v>47208</v>
      </c>
      <c r="S111" s="243">
        <f t="shared" si="25"/>
        <v>47573</v>
      </c>
      <c r="T111" s="243"/>
    </row>
    <row r="112" spans="4:20" ht="12.75" customHeight="1">
      <c r="D112" s="44" t="s">
        <v>63</v>
      </c>
      <c r="E112" s="244"/>
      <c r="F112" s="245">
        <f t="shared" ref="F112:S112" si="26">F27</f>
        <v>108.7</v>
      </c>
      <c r="G112" s="245">
        <f t="shared" si="26"/>
        <v>109.5</v>
      </c>
      <c r="H112" s="245">
        <f t="shared" si="26"/>
        <v>98.2</v>
      </c>
      <c r="I112" s="245">
        <f t="shared" si="26"/>
        <v>94.147209662938195</v>
      </c>
      <c r="J112" s="245">
        <f t="shared" si="26"/>
        <v>8.2024042733810774</v>
      </c>
      <c r="K112" s="245">
        <f t="shared" si="26"/>
        <v>111.79673623719187</v>
      </c>
      <c r="L112" s="245">
        <f t="shared" si="26"/>
        <v>124.39494101920214</v>
      </c>
      <c r="M112" s="245">
        <f t="shared" si="26"/>
        <v>127.56812935492377</v>
      </c>
      <c r="N112" s="245">
        <f t="shared" ca="1" si="26"/>
        <v>130.50497670037939</v>
      </c>
      <c r="O112" s="245">
        <f t="shared" ca="1" si="26"/>
        <v>133.24650233845801</v>
      </c>
      <c r="P112" s="245">
        <f t="shared" ca="1" si="26"/>
        <v>135.77717411567374</v>
      </c>
      <c r="Q112" s="245">
        <f t="shared" ca="1" si="26"/>
        <v>138.08237409438118</v>
      </c>
      <c r="R112" s="245">
        <f t="shared" ca="1" si="26"/>
        <v>140.14853878072222</v>
      </c>
      <c r="S112" s="245">
        <f t="shared" ca="1" si="26"/>
        <v>141.96329207130722</v>
      </c>
      <c r="T112" s="245"/>
    </row>
    <row r="113" spans="4:20" ht="12.75" customHeight="1">
      <c r="D113" s="111" t="s">
        <v>68</v>
      </c>
      <c r="E113" s="246"/>
      <c r="F113" s="247">
        <f t="shared" ref="F113:S113" si="27">F112/F$24</f>
        <v>9.9269406392694062E-2</v>
      </c>
      <c r="G113" s="247">
        <f t="shared" si="27"/>
        <v>9.6467271606025903E-2</v>
      </c>
      <c r="H113" s="247">
        <f t="shared" si="27"/>
        <v>8.6246267345863353E-2</v>
      </c>
      <c r="I113" s="247">
        <f t="shared" si="27"/>
        <v>8.1921904398915543E-2</v>
      </c>
      <c r="J113" s="247">
        <f t="shared" si="27"/>
        <v>7.4567311576191611E-3</v>
      </c>
      <c r="K113" s="247">
        <f t="shared" si="27"/>
        <v>8.2577669530744247E-2</v>
      </c>
      <c r="L113" s="247">
        <f t="shared" si="27"/>
        <v>8.5968935047082765E-2</v>
      </c>
      <c r="M113" s="247">
        <f t="shared" si="27"/>
        <v>8.8428067672376806E-2</v>
      </c>
      <c r="N113" s="247">
        <f t="shared" ca="1" si="27"/>
        <v>8.8690039739666021E-2</v>
      </c>
      <c r="O113" s="247">
        <f t="shared" ca="1" si="27"/>
        <v>8.8952020133945917E-2</v>
      </c>
      <c r="P113" s="247">
        <f t="shared" ca="1" si="27"/>
        <v>8.9214008855216437E-2</v>
      </c>
      <c r="Q113" s="247">
        <f t="shared" ca="1" si="27"/>
        <v>8.947600382172996E-2</v>
      </c>
      <c r="R113" s="247">
        <f t="shared" ca="1" si="27"/>
        <v>8.9738001910864978E-2</v>
      </c>
      <c r="S113" s="247">
        <f t="shared" ca="1" si="27"/>
        <v>0.09</v>
      </c>
      <c r="T113" s="247"/>
    </row>
    <row r="114" spans="4:20" ht="12.75" customHeight="1">
      <c r="D114" s="44" t="s">
        <v>81</v>
      </c>
      <c r="E114" s="246"/>
      <c r="F114" s="248">
        <f t="shared" ref="F114:S114" si="28">F46</f>
        <v>0</v>
      </c>
      <c r="G114" s="248">
        <f t="shared" si="28"/>
        <v>-51</v>
      </c>
      <c r="H114" s="248">
        <f t="shared" si="28"/>
        <v>0</v>
      </c>
      <c r="I114" s="248">
        <f t="shared" si="28"/>
        <v>36.1292154</v>
      </c>
      <c r="J114" s="248">
        <f t="shared" si="28"/>
        <v>40.45529352334907</v>
      </c>
      <c r="K114" s="248">
        <f t="shared" si="28"/>
        <v>47.195257615808771</v>
      </c>
      <c r="L114" s="248">
        <f t="shared" si="28"/>
        <v>51.829543587564174</v>
      </c>
      <c r="M114" s="248">
        <f t="shared" si="28"/>
        <v>54.799912142159172</v>
      </c>
      <c r="N114" s="248">
        <f t="shared" ca="1" si="28"/>
        <v>53.583371406544728</v>
      </c>
      <c r="O114" s="248">
        <f t="shared" ca="1" si="28"/>
        <v>52.366775194672485</v>
      </c>
      <c r="P114" s="248">
        <f t="shared" ca="1" si="28"/>
        <v>51.15012329902379</v>
      </c>
      <c r="Q114" s="248">
        <f t="shared" ca="1" si="28"/>
        <v>49.933429510083272</v>
      </c>
      <c r="R114" s="248">
        <f t="shared" ca="1" si="28"/>
        <v>48.716714688264972</v>
      </c>
      <c r="S114" s="248">
        <f t="shared" ca="1" si="28"/>
        <v>47.499999780309992</v>
      </c>
      <c r="T114" s="248"/>
    </row>
    <row r="115" spans="4:20" ht="12.75" customHeight="1">
      <c r="D115" s="111" t="s">
        <v>83</v>
      </c>
      <c r="E115" s="246"/>
      <c r="F115" s="247">
        <f t="shared" ref="F115:S115" si="29">-F114/F48</f>
        <v>0</v>
      </c>
      <c r="G115" s="247">
        <f t="shared" si="29"/>
        <v>-1.3672922252010724</v>
      </c>
      <c r="H115" s="247">
        <f t="shared" si="29"/>
        <v>0</v>
      </c>
      <c r="I115" s="247">
        <f t="shared" si="29"/>
        <v>1.0035893166666667</v>
      </c>
      <c r="J115" s="247">
        <f t="shared" si="29"/>
        <v>0.79324104947743279</v>
      </c>
      <c r="K115" s="247">
        <f t="shared" si="29"/>
        <v>0.94390515231617544</v>
      </c>
      <c r="L115" s="247">
        <f t="shared" si="29"/>
        <v>1.0365908717512835</v>
      </c>
      <c r="M115" s="247">
        <f t="shared" si="29"/>
        <v>1.0959982428431834</v>
      </c>
      <c r="N115" s="247">
        <f t="shared" ca="1" si="29"/>
        <v>1.0716674281308947</v>
      </c>
      <c r="O115" s="247">
        <f t="shared" ca="1" si="29"/>
        <v>1.0473355038934498</v>
      </c>
      <c r="P115" s="247">
        <f t="shared" ca="1" si="29"/>
        <v>1.0230024659804757</v>
      </c>
      <c r="Q115" s="247">
        <f t="shared" ca="1" si="29"/>
        <v>0.99866859020166543</v>
      </c>
      <c r="R115" s="247">
        <f t="shared" ca="1" si="29"/>
        <v>0.97433429376529945</v>
      </c>
      <c r="S115" s="247">
        <f t="shared" ca="1" si="29"/>
        <v>0.94999999560619985</v>
      </c>
      <c r="T115" s="247"/>
    </row>
    <row r="116" spans="4:20" ht="12.75" customHeight="1">
      <c r="D116" s="44" t="s">
        <v>69</v>
      </c>
      <c r="E116" s="121"/>
      <c r="F116" s="245">
        <f t="shared" ref="F116:S116" si="30">F35</f>
        <v>77.099999999999994</v>
      </c>
      <c r="G116" s="245">
        <f t="shared" si="30"/>
        <v>74.599999999999994</v>
      </c>
      <c r="H116" s="245">
        <f t="shared" si="30"/>
        <v>62.2</v>
      </c>
      <c r="I116" s="245">
        <f t="shared" si="30"/>
        <v>58.017994262938196</v>
      </c>
      <c r="J116" s="245">
        <f t="shared" si="30"/>
        <v>-32.252889249967993</v>
      </c>
      <c r="K116" s="245">
        <f t="shared" si="30"/>
        <v>64.601478621383094</v>
      </c>
      <c r="L116" s="245">
        <f t="shared" si="30"/>
        <v>72.565397431637962</v>
      </c>
      <c r="M116" s="245">
        <f t="shared" si="30"/>
        <v>72.768217212764597</v>
      </c>
      <c r="N116" s="245">
        <f t="shared" ca="1" si="30"/>
        <v>76.921605293834659</v>
      </c>
      <c r="O116" s="245">
        <f t="shared" ca="1" si="30"/>
        <v>80.87972714378553</v>
      </c>
      <c r="P116" s="245">
        <f t="shared" ca="1" si="30"/>
        <v>84.627050816649955</v>
      </c>
      <c r="Q116" s="245">
        <f t="shared" ca="1" si="30"/>
        <v>88.148944584297908</v>
      </c>
      <c r="R116" s="245">
        <f t="shared" ca="1" si="30"/>
        <v>91.431824092457248</v>
      </c>
      <c r="S116" s="245">
        <f t="shared" ca="1" si="30"/>
        <v>94.463292290997231</v>
      </c>
      <c r="T116" s="245"/>
    </row>
    <row r="117" spans="4:20" ht="12.75" customHeight="1">
      <c r="D117" s="111" t="s">
        <v>68</v>
      </c>
      <c r="E117" s="249"/>
      <c r="F117" s="247">
        <f t="shared" ref="F117:S117" si="31">F116/F$24</f>
        <v>7.0410958904109588E-2</v>
      </c>
      <c r="G117" s="247">
        <f t="shared" si="31"/>
        <v>6.5721081843009427E-2</v>
      </c>
      <c r="H117" s="247">
        <f t="shared" si="31"/>
        <v>5.4628491129457238E-2</v>
      </c>
      <c r="I117" s="247">
        <f t="shared" si="31"/>
        <v>5.0484178941059873E-2</v>
      </c>
      <c r="J117" s="247">
        <f t="shared" si="31"/>
        <v>-2.9320808409061812E-2</v>
      </c>
      <c r="K117" s="247">
        <f t="shared" si="31"/>
        <v>4.7717310293172194E-2</v>
      </c>
      <c r="L117" s="247">
        <f t="shared" si="31"/>
        <v>5.01497077562282E-2</v>
      </c>
      <c r="M117" s="247">
        <f t="shared" si="31"/>
        <v>5.0441696281252238E-2</v>
      </c>
      <c r="N117" s="247">
        <f t="shared" ca="1" si="31"/>
        <v>5.2275249594594717E-2</v>
      </c>
      <c r="O117" s="247">
        <f t="shared" ca="1" si="31"/>
        <v>5.3993275553662227E-2</v>
      </c>
      <c r="P117" s="247">
        <f t="shared" ca="1" si="31"/>
        <v>5.5605211333352667E-2</v>
      </c>
      <c r="Q117" s="247">
        <f t="shared" ca="1" si="31"/>
        <v>5.7119638579758797E-2</v>
      </c>
      <c r="R117" s="247">
        <f t="shared" ca="1" si="31"/>
        <v>5.8544379245796349E-2</v>
      </c>
      <c r="S117" s="247">
        <f t="shared" ca="1" si="31"/>
        <v>5.9886581820879477E-2</v>
      </c>
      <c r="T117" s="247"/>
    </row>
    <row r="118" spans="4:20" ht="12.75" customHeight="1">
      <c r="D118" s="44" t="s">
        <v>25</v>
      </c>
      <c r="E118" s="249"/>
      <c r="F118" s="248">
        <f t="shared" ref="F118:S118" si="32">F39</f>
        <v>0</v>
      </c>
      <c r="G118" s="248">
        <f t="shared" si="32"/>
        <v>0</v>
      </c>
      <c r="H118" s="248">
        <f t="shared" si="32"/>
        <v>0</v>
      </c>
      <c r="I118" s="248">
        <f t="shared" si="32"/>
        <v>-11.023418909958258</v>
      </c>
      <c r="J118" s="248">
        <f t="shared" si="32"/>
        <v>5.4829911724945593</v>
      </c>
      <c r="K118" s="248">
        <f t="shared" si="32"/>
        <v>-10.982251365635127</v>
      </c>
      <c r="L118" s="248">
        <f t="shared" si="32"/>
        <v>-12.336117563378455</v>
      </c>
      <c r="M118" s="248">
        <f t="shared" si="32"/>
        <v>-12.370596926169982</v>
      </c>
      <c r="N118" s="248">
        <f t="shared" ca="1" si="32"/>
        <v>-13.076672899951893</v>
      </c>
      <c r="O118" s="248">
        <f t="shared" ca="1" si="32"/>
        <v>-13.749553614443542</v>
      </c>
      <c r="P118" s="248">
        <f t="shared" ca="1" si="32"/>
        <v>-14.386598638830494</v>
      </c>
      <c r="Q118" s="248">
        <f t="shared" ca="1" si="32"/>
        <v>-14.985320579330645</v>
      </c>
      <c r="R118" s="248">
        <f t="shared" ca="1" si="32"/>
        <v>-15.543410095717734</v>
      </c>
      <c r="S118" s="248">
        <f t="shared" ca="1" si="32"/>
        <v>-16.058759689469529</v>
      </c>
      <c r="T118" s="248"/>
    </row>
    <row r="119" spans="4:20" ht="12.75" customHeight="1">
      <c r="D119" s="111" t="s">
        <v>131</v>
      </c>
      <c r="E119" s="249"/>
      <c r="F119" s="247">
        <f t="shared" ref="F119:S119" si="33">F40</f>
        <v>0</v>
      </c>
      <c r="G119" s="247">
        <f t="shared" si="33"/>
        <v>0</v>
      </c>
      <c r="H119" s="247">
        <f t="shared" si="33"/>
        <v>0</v>
      </c>
      <c r="I119" s="247">
        <f t="shared" si="33"/>
        <v>0.19</v>
      </c>
      <c r="J119" s="247">
        <f t="shared" si="33"/>
        <v>0.17</v>
      </c>
      <c r="K119" s="247">
        <f t="shared" si="33"/>
        <v>0.17</v>
      </c>
      <c r="L119" s="247">
        <f t="shared" si="33"/>
        <v>0.17</v>
      </c>
      <c r="M119" s="247">
        <f t="shared" si="33"/>
        <v>0.17</v>
      </c>
      <c r="N119" s="247">
        <f t="shared" si="33"/>
        <v>0.17</v>
      </c>
      <c r="O119" s="247">
        <f t="shared" si="33"/>
        <v>0.17</v>
      </c>
      <c r="P119" s="247">
        <f t="shared" si="33"/>
        <v>0.17</v>
      </c>
      <c r="Q119" s="247">
        <f t="shared" si="33"/>
        <v>0.17</v>
      </c>
      <c r="R119" s="247">
        <f t="shared" si="33"/>
        <v>0.17</v>
      </c>
      <c r="S119" s="247">
        <f t="shared" si="33"/>
        <v>0.17</v>
      </c>
      <c r="T119" s="247"/>
    </row>
    <row r="120" spans="4:20" ht="12.75" customHeight="1">
      <c r="D120" s="44" t="s">
        <v>95</v>
      </c>
      <c r="E120" s="249"/>
      <c r="F120" s="248">
        <f t="shared" ref="F120:S120" si="34">F42</f>
        <v>0</v>
      </c>
      <c r="G120" s="248">
        <f t="shared" si="34"/>
        <v>0</v>
      </c>
      <c r="H120" s="248">
        <f t="shared" si="34"/>
        <v>0</v>
      </c>
      <c r="I120" s="248">
        <f t="shared" si="34"/>
        <v>46.994575352979936</v>
      </c>
      <c r="J120" s="248">
        <f t="shared" si="34"/>
        <v>-26.769898077473435</v>
      </c>
      <c r="K120" s="248">
        <f t="shared" si="34"/>
        <v>53.619227255747965</v>
      </c>
      <c r="L120" s="248">
        <f t="shared" si="34"/>
        <v>60.229279868259511</v>
      </c>
      <c r="M120" s="248">
        <f t="shared" si="34"/>
        <v>60.397620286594616</v>
      </c>
      <c r="N120" s="248">
        <f t="shared" ca="1" si="34"/>
        <v>63.844932393882765</v>
      </c>
      <c r="O120" s="248">
        <f t="shared" ca="1" si="34"/>
        <v>67.130173529341988</v>
      </c>
      <c r="P120" s="248">
        <f t="shared" ca="1" si="34"/>
        <v>70.240452177819463</v>
      </c>
      <c r="Q120" s="248">
        <f t="shared" ca="1" si="34"/>
        <v>73.163624004967261</v>
      </c>
      <c r="R120" s="248">
        <f t="shared" ca="1" si="34"/>
        <v>75.888413996739516</v>
      </c>
      <c r="S120" s="248">
        <f t="shared" ca="1" si="34"/>
        <v>78.404532601527706</v>
      </c>
      <c r="T120" s="248"/>
    </row>
    <row r="121" spans="4:20" ht="12.75" customHeight="1">
      <c r="D121" s="111" t="s">
        <v>132</v>
      </c>
      <c r="E121" s="249"/>
      <c r="F121" s="248">
        <f t="shared" ref="F121:S121" si="35">-F31</f>
        <v>31.600000000000009</v>
      </c>
      <c r="G121" s="248">
        <f t="shared" si="35"/>
        <v>34.900000000000006</v>
      </c>
      <c r="H121" s="248">
        <f t="shared" si="35"/>
        <v>36</v>
      </c>
      <c r="I121" s="248">
        <f t="shared" si="35"/>
        <v>36.1292154</v>
      </c>
      <c r="J121" s="248">
        <f t="shared" si="35"/>
        <v>40.45529352334907</v>
      </c>
      <c r="K121" s="248">
        <f t="shared" si="35"/>
        <v>47.195257615808771</v>
      </c>
      <c r="L121" s="248">
        <f t="shared" si="35"/>
        <v>51.829543587564174</v>
      </c>
      <c r="M121" s="248">
        <f t="shared" si="35"/>
        <v>54.799912142159172</v>
      </c>
      <c r="N121" s="248">
        <f t="shared" ca="1" si="35"/>
        <v>53.583371406544728</v>
      </c>
      <c r="O121" s="248">
        <f t="shared" ca="1" si="35"/>
        <v>52.366775194672485</v>
      </c>
      <c r="P121" s="248">
        <f t="shared" ca="1" si="35"/>
        <v>51.15012329902379</v>
      </c>
      <c r="Q121" s="248">
        <f t="shared" ca="1" si="35"/>
        <v>49.933429510083272</v>
      </c>
      <c r="R121" s="248">
        <f t="shared" ca="1" si="35"/>
        <v>48.716714688264972</v>
      </c>
      <c r="S121" s="248">
        <f t="shared" ca="1" si="35"/>
        <v>47.499999780309992</v>
      </c>
      <c r="T121" s="248"/>
    </row>
    <row r="122" spans="4:20" ht="12.75" customHeight="1">
      <c r="D122" s="111" t="s">
        <v>133</v>
      </c>
      <c r="E122" s="249"/>
      <c r="F122" s="248">
        <f t="shared" ref="F122:S122" si="36">F48</f>
        <v>-36.1</v>
      </c>
      <c r="G122" s="248">
        <f t="shared" si="36"/>
        <v>-37.299999999999997</v>
      </c>
      <c r="H122" s="248">
        <f t="shared" si="36"/>
        <v>-31</v>
      </c>
      <c r="I122" s="248">
        <f t="shared" si="36"/>
        <v>-36</v>
      </c>
      <c r="J122" s="248">
        <f t="shared" si="36"/>
        <v>-51</v>
      </c>
      <c r="K122" s="248">
        <f t="shared" si="36"/>
        <v>-50</v>
      </c>
      <c r="L122" s="248">
        <f t="shared" si="36"/>
        <v>-50</v>
      </c>
      <c r="M122" s="248">
        <f t="shared" si="36"/>
        <v>-50</v>
      </c>
      <c r="N122" s="248">
        <f t="shared" si="36"/>
        <v>-50</v>
      </c>
      <c r="O122" s="248">
        <f t="shared" si="36"/>
        <v>-50</v>
      </c>
      <c r="P122" s="248">
        <f t="shared" si="36"/>
        <v>-50</v>
      </c>
      <c r="Q122" s="248">
        <f t="shared" si="36"/>
        <v>-50</v>
      </c>
      <c r="R122" s="248">
        <f t="shared" si="36"/>
        <v>-50</v>
      </c>
      <c r="S122" s="248">
        <f t="shared" si="36"/>
        <v>-50</v>
      </c>
      <c r="T122" s="248"/>
    </row>
    <row r="123" spans="4:20" ht="12.75" customHeight="1">
      <c r="D123" s="111" t="s">
        <v>134</v>
      </c>
      <c r="E123" s="249"/>
      <c r="F123" s="248">
        <f t="shared" ref="F123:S123" si="37">F52</f>
        <v>-16.300000000000004</v>
      </c>
      <c r="G123" s="248">
        <f t="shared" si="37"/>
        <v>-12.6</v>
      </c>
      <c r="H123" s="245">
        <f t="shared" si="37"/>
        <v>-10.399999999999999</v>
      </c>
      <c r="I123" s="245">
        <f t="shared" si="37"/>
        <v>6</v>
      </c>
      <c r="J123" s="245">
        <f t="shared" si="37"/>
        <v>16.1119544409034</v>
      </c>
      <c r="K123" s="245">
        <f t="shared" si="37"/>
        <v>15.1688926668047</v>
      </c>
      <c r="L123" s="245">
        <f t="shared" si="37"/>
        <v>11.1102169006686</v>
      </c>
      <c r="M123" s="245">
        <f t="shared" si="37"/>
        <v>3.9548595532390398</v>
      </c>
      <c r="N123" s="245">
        <f t="shared" si="37"/>
        <v>0</v>
      </c>
      <c r="O123" s="245">
        <f t="shared" ca="1" si="37"/>
        <v>0</v>
      </c>
      <c r="P123" s="245">
        <f t="shared" ca="1" si="37"/>
        <v>0</v>
      </c>
      <c r="Q123" s="245">
        <f t="shared" ca="1" si="37"/>
        <v>0</v>
      </c>
      <c r="R123" s="245">
        <f t="shared" ca="1" si="37"/>
        <v>0</v>
      </c>
      <c r="S123" s="245">
        <f t="shared" ca="1" si="37"/>
        <v>0</v>
      </c>
      <c r="T123" s="245"/>
    </row>
    <row r="124" spans="4:20" ht="12.75" customHeight="1">
      <c r="D124" s="111" t="s">
        <v>135</v>
      </c>
      <c r="E124" s="249"/>
      <c r="F124" s="248">
        <f t="shared" ref="F124:S124" si="38">+F58</f>
        <v>0</v>
      </c>
      <c r="G124" s="248">
        <f t="shared" si="38"/>
        <v>0</v>
      </c>
      <c r="H124" s="248">
        <f t="shared" si="38"/>
        <v>0</v>
      </c>
      <c r="I124" s="248">
        <f t="shared" si="38"/>
        <v>0</v>
      </c>
      <c r="J124" s="248">
        <f t="shared" si="38"/>
        <v>-18.004468664734802</v>
      </c>
      <c r="K124" s="248">
        <f t="shared" si="38"/>
        <v>-6.7527180429793701</v>
      </c>
      <c r="L124" s="248">
        <f t="shared" si="38"/>
        <v>25.138454026318879</v>
      </c>
      <c r="M124" s="248">
        <f t="shared" si="38"/>
        <v>-4.8650405710493096</v>
      </c>
      <c r="N124" s="248">
        <f t="shared" si="38"/>
        <v>0</v>
      </c>
      <c r="O124" s="248">
        <f t="shared" si="38"/>
        <v>0</v>
      </c>
      <c r="P124" s="248">
        <f t="shared" si="38"/>
        <v>0</v>
      </c>
      <c r="Q124" s="248">
        <f t="shared" si="38"/>
        <v>0</v>
      </c>
      <c r="R124" s="248">
        <f t="shared" si="38"/>
        <v>0</v>
      </c>
      <c r="S124" s="248">
        <f t="shared" si="38"/>
        <v>0</v>
      </c>
      <c r="T124" s="245"/>
    </row>
    <row r="125" spans="4:20" ht="12.75" customHeight="1">
      <c r="D125" s="111" t="s">
        <v>136</v>
      </c>
      <c r="E125" s="249"/>
      <c r="F125" s="248">
        <f t="shared" ref="F125:S125" si="39">+F55</f>
        <v>0</v>
      </c>
      <c r="G125" s="248">
        <f t="shared" si="39"/>
        <v>-1.5</v>
      </c>
      <c r="H125" s="248">
        <f t="shared" si="39"/>
        <v>0.74</v>
      </c>
      <c r="I125" s="248">
        <f t="shared" si="39"/>
        <v>0</v>
      </c>
      <c r="J125" s="248">
        <f t="shared" si="39"/>
        <v>0</v>
      </c>
      <c r="K125" s="248">
        <f t="shared" si="39"/>
        <v>-5</v>
      </c>
      <c r="L125" s="248">
        <f t="shared" si="39"/>
        <v>-5</v>
      </c>
      <c r="M125" s="248">
        <f t="shared" si="39"/>
        <v>-5</v>
      </c>
      <c r="N125" s="248">
        <f t="shared" si="39"/>
        <v>-5</v>
      </c>
      <c r="O125" s="248">
        <f t="shared" si="39"/>
        <v>-5</v>
      </c>
      <c r="P125" s="248">
        <f t="shared" si="39"/>
        <v>-5</v>
      </c>
      <c r="Q125" s="248">
        <f t="shared" si="39"/>
        <v>-5</v>
      </c>
      <c r="R125" s="248">
        <f t="shared" si="39"/>
        <v>-5</v>
      </c>
      <c r="S125" s="248">
        <f t="shared" si="39"/>
        <v>-5</v>
      </c>
      <c r="T125" s="245"/>
    </row>
    <row r="126" spans="4:20" ht="12.75" customHeight="1">
      <c r="D126" s="111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</row>
    <row r="127" spans="4:20" ht="12.75" customHeight="1">
      <c r="D127" s="250" t="s">
        <v>98</v>
      </c>
      <c r="E127" s="251"/>
      <c r="F127" s="153">
        <f t="shared" ref="F127:S127" si="40">SUM(F120:F125)</f>
        <v>-20.799999999999997</v>
      </c>
      <c r="G127" s="153">
        <f t="shared" si="40"/>
        <v>-16.499999999999993</v>
      </c>
      <c r="H127" s="153">
        <f t="shared" si="40"/>
        <v>-4.6599999999999984</v>
      </c>
      <c r="I127" s="153">
        <f t="shared" si="40"/>
        <v>53.123790752979943</v>
      </c>
      <c r="J127" s="153">
        <f t="shared" si="40"/>
        <v>-39.20711877795577</v>
      </c>
      <c r="K127" s="153">
        <f t="shared" si="40"/>
        <v>54.230659495382071</v>
      </c>
      <c r="L127" s="153">
        <f t="shared" si="40"/>
        <v>93.307494382811171</v>
      </c>
      <c r="M127" s="153">
        <f t="shared" si="40"/>
        <v>59.287351410943529</v>
      </c>
      <c r="N127" s="153">
        <f t="shared" ca="1" si="40"/>
        <v>62.4283038004275</v>
      </c>
      <c r="O127" s="153">
        <f t="shared" ca="1" si="40"/>
        <v>64.496948724014473</v>
      </c>
      <c r="P127" s="153">
        <f t="shared" ca="1" si="40"/>
        <v>66.390575476843253</v>
      </c>
      <c r="Q127" s="153">
        <f t="shared" ca="1" si="40"/>
        <v>68.097053515050533</v>
      </c>
      <c r="R127" s="153">
        <f t="shared" ca="1" si="40"/>
        <v>69.605128685004487</v>
      </c>
      <c r="S127" s="153">
        <f t="shared" ca="1" si="40"/>
        <v>70.904532381837697</v>
      </c>
      <c r="T127" s="153"/>
    </row>
  </sheetData>
  <pageMargins left="0.7" right="0.7" top="0.75" bottom="0.75" header="0.511811023622047" footer="0.511811023622047"/>
  <pageSetup paperSize="9" scale="35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K19" sqref="K19"/>
    </sheetView>
  </sheetViews>
  <sheetFormatPr defaultColWidth="9.109375" defaultRowHeight="13.2"/>
  <cols>
    <col min="1" max="2" width="2.6640625" customWidth="1"/>
    <col min="3" max="5" width="12" customWidth="1"/>
    <col min="6" max="7" width="9.109375" customWidth="1"/>
    <col min="8" max="8" width="0.88671875" customWidth="1"/>
    <col min="9" max="19" width="12.6640625" customWidth="1"/>
    <col min="20" max="253" width="9.109375" customWidth="1"/>
    <col min="254" max="255" width="2.6640625" customWidth="1"/>
    <col min="256" max="258" width="12" customWidth="1"/>
    <col min="259" max="260" width="9.109375" customWidth="1"/>
    <col min="261" max="261" width="0.88671875" customWidth="1"/>
    <col min="262" max="275" width="7.6640625" customWidth="1"/>
    <col min="276" max="509" width="9.109375" customWidth="1"/>
    <col min="510" max="511" width="2.6640625" customWidth="1"/>
    <col min="512" max="514" width="12" customWidth="1"/>
    <col min="515" max="516" width="9.109375" customWidth="1"/>
    <col min="517" max="517" width="0.88671875" customWidth="1"/>
    <col min="518" max="531" width="7.6640625" customWidth="1"/>
    <col min="532" max="765" width="9.109375" customWidth="1"/>
    <col min="766" max="767" width="2.6640625" customWidth="1"/>
    <col min="768" max="770" width="12" customWidth="1"/>
    <col min="771" max="772" width="9.109375" customWidth="1"/>
    <col min="773" max="773" width="0.88671875" customWidth="1"/>
    <col min="774" max="787" width="7.6640625" customWidth="1"/>
    <col min="788" max="1021" width="9.109375" customWidth="1"/>
    <col min="1022" max="1023" width="2.6640625" customWidth="1"/>
    <col min="1024" max="1026" width="12" customWidth="1"/>
    <col min="1027" max="1028" width="9.109375" customWidth="1"/>
    <col min="1029" max="1029" width="0.88671875" customWidth="1"/>
    <col min="1030" max="1043" width="7.6640625" customWidth="1"/>
    <col min="1044" max="1277" width="9.109375" customWidth="1"/>
    <col min="1278" max="1279" width="2.6640625" customWidth="1"/>
    <col min="1280" max="1282" width="12" customWidth="1"/>
    <col min="1283" max="1284" width="9.109375" customWidth="1"/>
    <col min="1285" max="1285" width="0.88671875" customWidth="1"/>
    <col min="1286" max="1299" width="7.6640625" customWidth="1"/>
    <col min="1300" max="1533" width="9.109375" customWidth="1"/>
    <col min="1534" max="1535" width="2.6640625" customWidth="1"/>
    <col min="1536" max="1538" width="12" customWidth="1"/>
    <col min="1539" max="1540" width="9.109375" customWidth="1"/>
    <col min="1541" max="1541" width="0.88671875" customWidth="1"/>
    <col min="1542" max="1555" width="7.6640625" customWidth="1"/>
    <col min="1556" max="1789" width="9.109375" customWidth="1"/>
    <col min="1790" max="1791" width="2.6640625" customWidth="1"/>
    <col min="1792" max="1794" width="12" customWidth="1"/>
    <col min="1795" max="1796" width="9.109375" customWidth="1"/>
    <col min="1797" max="1797" width="0.88671875" customWidth="1"/>
    <col min="1798" max="1811" width="7.6640625" customWidth="1"/>
    <col min="1812" max="2045" width="9.109375" customWidth="1"/>
    <col min="2046" max="2047" width="2.6640625" customWidth="1"/>
    <col min="2048" max="2050" width="12" customWidth="1"/>
    <col min="2051" max="2052" width="9.109375" customWidth="1"/>
    <col min="2053" max="2053" width="0.88671875" customWidth="1"/>
    <col min="2054" max="2067" width="7.6640625" customWidth="1"/>
    <col min="2068" max="2301" width="9.109375" customWidth="1"/>
    <col min="2302" max="2303" width="2.6640625" customWidth="1"/>
    <col min="2304" max="2306" width="12" customWidth="1"/>
    <col min="2307" max="2308" width="9.109375" customWidth="1"/>
    <col min="2309" max="2309" width="0.88671875" customWidth="1"/>
    <col min="2310" max="2323" width="7.6640625" customWidth="1"/>
    <col min="2324" max="2557" width="9.109375" customWidth="1"/>
    <col min="2558" max="2559" width="2.6640625" customWidth="1"/>
    <col min="2560" max="2562" width="12" customWidth="1"/>
    <col min="2563" max="2564" width="9.109375" customWidth="1"/>
    <col min="2565" max="2565" width="0.88671875" customWidth="1"/>
    <col min="2566" max="2579" width="7.6640625" customWidth="1"/>
    <col min="2580" max="2813" width="9.109375" customWidth="1"/>
    <col min="2814" max="2815" width="2.6640625" customWidth="1"/>
    <col min="2816" max="2818" width="12" customWidth="1"/>
    <col min="2819" max="2820" width="9.109375" customWidth="1"/>
    <col min="2821" max="2821" width="0.88671875" customWidth="1"/>
    <col min="2822" max="2835" width="7.6640625" customWidth="1"/>
    <col min="2836" max="3069" width="9.109375" customWidth="1"/>
    <col min="3070" max="3071" width="2.6640625" customWidth="1"/>
    <col min="3072" max="3074" width="12" customWidth="1"/>
    <col min="3075" max="3076" width="9.109375" customWidth="1"/>
    <col min="3077" max="3077" width="0.88671875" customWidth="1"/>
    <col min="3078" max="3091" width="7.6640625" customWidth="1"/>
    <col min="3092" max="3325" width="9.109375" customWidth="1"/>
    <col min="3326" max="3327" width="2.6640625" customWidth="1"/>
    <col min="3328" max="3330" width="12" customWidth="1"/>
    <col min="3331" max="3332" width="9.109375" customWidth="1"/>
    <col min="3333" max="3333" width="0.88671875" customWidth="1"/>
    <col min="3334" max="3347" width="7.6640625" customWidth="1"/>
    <col min="3348" max="3581" width="9.109375" customWidth="1"/>
    <col min="3582" max="3583" width="2.6640625" customWidth="1"/>
    <col min="3584" max="3586" width="12" customWidth="1"/>
    <col min="3587" max="3588" width="9.109375" customWidth="1"/>
    <col min="3589" max="3589" width="0.88671875" customWidth="1"/>
    <col min="3590" max="3603" width="7.6640625" customWidth="1"/>
    <col min="3604" max="3837" width="9.109375" customWidth="1"/>
    <col min="3838" max="3839" width="2.6640625" customWidth="1"/>
    <col min="3840" max="3842" width="12" customWidth="1"/>
    <col min="3843" max="3844" width="9.109375" customWidth="1"/>
    <col min="3845" max="3845" width="0.88671875" customWidth="1"/>
    <col min="3846" max="3859" width="7.6640625" customWidth="1"/>
    <col min="3860" max="4093" width="9.109375" customWidth="1"/>
    <col min="4094" max="4095" width="2.6640625" customWidth="1"/>
    <col min="4096" max="4098" width="12" customWidth="1"/>
    <col min="4099" max="4100" width="9.109375" customWidth="1"/>
    <col min="4101" max="4101" width="0.88671875" customWidth="1"/>
    <col min="4102" max="4115" width="7.6640625" customWidth="1"/>
    <col min="4116" max="4349" width="9.109375" customWidth="1"/>
    <col min="4350" max="4351" width="2.6640625" customWidth="1"/>
    <col min="4352" max="4354" width="12" customWidth="1"/>
    <col min="4355" max="4356" width="9.109375" customWidth="1"/>
    <col min="4357" max="4357" width="0.88671875" customWidth="1"/>
    <col min="4358" max="4371" width="7.6640625" customWidth="1"/>
    <col min="4372" max="4605" width="9.109375" customWidth="1"/>
    <col min="4606" max="4607" width="2.6640625" customWidth="1"/>
    <col min="4608" max="4610" width="12" customWidth="1"/>
    <col min="4611" max="4612" width="9.109375" customWidth="1"/>
    <col min="4613" max="4613" width="0.88671875" customWidth="1"/>
    <col min="4614" max="4627" width="7.6640625" customWidth="1"/>
    <col min="4628" max="4861" width="9.109375" customWidth="1"/>
    <col min="4862" max="4863" width="2.6640625" customWidth="1"/>
    <col min="4864" max="4866" width="12" customWidth="1"/>
    <col min="4867" max="4868" width="9.109375" customWidth="1"/>
    <col min="4869" max="4869" width="0.88671875" customWidth="1"/>
    <col min="4870" max="4883" width="7.6640625" customWidth="1"/>
    <col min="4884" max="5117" width="9.109375" customWidth="1"/>
    <col min="5118" max="5119" width="2.6640625" customWidth="1"/>
    <col min="5120" max="5122" width="12" customWidth="1"/>
    <col min="5123" max="5124" width="9.109375" customWidth="1"/>
    <col min="5125" max="5125" width="0.88671875" customWidth="1"/>
    <col min="5126" max="5139" width="7.6640625" customWidth="1"/>
    <col min="5140" max="5373" width="9.109375" customWidth="1"/>
    <col min="5374" max="5375" width="2.6640625" customWidth="1"/>
    <col min="5376" max="5378" width="12" customWidth="1"/>
    <col min="5379" max="5380" width="9.109375" customWidth="1"/>
    <col min="5381" max="5381" width="0.88671875" customWidth="1"/>
    <col min="5382" max="5395" width="7.6640625" customWidth="1"/>
    <col min="5396" max="5629" width="9.109375" customWidth="1"/>
    <col min="5630" max="5631" width="2.6640625" customWidth="1"/>
    <col min="5632" max="5634" width="12" customWidth="1"/>
    <col min="5635" max="5636" width="9.109375" customWidth="1"/>
    <col min="5637" max="5637" width="0.88671875" customWidth="1"/>
    <col min="5638" max="5651" width="7.6640625" customWidth="1"/>
    <col min="5652" max="5885" width="9.109375" customWidth="1"/>
    <col min="5886" max="5887" width="2.6640625" customWidth="1"/>
    <col min="5888" max="5890" width="12" customWidth="1"/>
    <col min="5891" max="5892" width="9.109375" customWidth="1"/>
    <col min="5893" max="5893" width="0.88671875" customWidth="1"/>
    <col min="5894" max="5907" width="7.6640625" customWidth="1"/>
    <col min="5908" max="6141" width="9.109375" customWidth="1"/>
    <col min="6142" max="6143" width="2.6640625" customWidth="1"/>
    <col min="6144" max="6146" width="12" customWidth="1"/>
    <col min="6147" max="6148" width="9.109375" customWidth="1"/>
    <col min="6149" max="6149" width="0.88671875" customWidth="1"/>
    <col min="6150" max="6163" width="7.6640625" customWidth="1"/>
    <col min="6164" max="6397" width="9.109375" customWidth="1"/>
    <col min="6398" max="6399" width="2.6640625" customWidth="1"/>
    <col min="6400" max="6402" width="12" customWidth="1"/>
    <col min="6403" max="6404" width="9.109375" customWidth="1"/>
    <col min="6405" max="6405" width="0.88671875" customWidth="1"/>
    <col min="6406" max="6419" width="7.6640625" customWidth="1"/>
    <col min="6420" max="6653" width="9.109375" customWidth="1"/>
    <col min="6654" max="6655" width="2.6640625" customWidth="1"/>
    <col min="6656" max="6658" width="12" customWidth="1"/>
    <col min="6659" max="6660" width="9.109375" customWidth="1"/>
    <col min="6661" max="6661" width="0.88671875" customWidth="1"/>
    <col min="6662" max="6675" width="7.6640625" customWidth="1"/>
    <col min="6676" max="6909" width="9.109375" customWidth="1"/>
    <col min="6910" max="6911" width="2.6640625" customWidth="1"/>
    <col min="6912" max="6914" width="12" customWidth="1"/>
    <col min="6915" max="6916" width="9.109375" customWidth="1"/>
    <col min="6917" max="6917" width="0.88671875" customWidth="1"/>
    <col min="6918" max="6931" width="7.6640625" customWidth="1"/>
    <col min="6932" max="7165" width="9.109375" customWidth="1"/>
    <col min="7166" max="7167" width="2.6640625" customWidth="1"/>
    <col min="7168" max="7170" width="12" customWidth="1"/>
    <col min="7171" max="7172" width="9.109375" customWidth="1"/>
    <col min="7173" max="7173" width="0.88671875" customWidth="1"/>
    <col min="7174" max="7187" width="7.6640625" customWidth="1"/>
    <col min="7188" max="7421" width="9.109375" customWidth="1"/>
    <col min="7422" max="7423" width="2.6640625" customWidth="1"/>
    <col min="7424" max="7426" width="12" customWidth="1"/>
    <col min="7427" max="7428" width="9.109375" customWidth="1"/>
    <col min="7429" max="7429" width="0.88671875" customWidth="1"/>
    <col min="7430" max="7443" width="7.6640625" customWidth="1"/>
    <col min="7444" max="7677" width="9.109375" customWidth="1"/>
    <col min="7678" max="7679" width="2.6640625" customWidth="1"/>
    <col min="7680" max="7682" width="12" customWidth="1"/>
    <col min="7683" max="7684" width="9.109375" customWidth="1"/>
    <col min="7685" max="7685" width="0.88671875" customWidth="1"/>
    <col min="7686" max="7699" width="7.6640625" customWidth="1"/>
    <col min="7700" max="7933" width="9.109375" customWidth="1"/>
    <col min="7934" max="7935" width="2.6640625" customWidth="1"/>
    <col min="7936" max="7938" width="12" customWidth="1"/>
    <col min="7939" max="7940" width="9.109375" customWidth="1"/>
    <col min="7941" max="7941" width="0.88671875" customWidth="1"/>
    <col min="7942" max="7955" width="7.6640625" customWidth="1"/>
    <col min="7956" max="8189" width="9.109375" customWidth="1"/>
    <col min="8190" max="8191" width="2.6640625" customWidth="1"/>
    <col min="8192" max="8194" width="12" customWidth="1"/>
    <col min="8195" max="8196" width="9.109375" customWidth="1"/>
    <col min="8197" max="8197" width="0.88671875" customWidth="1"/>
    <col min="8198" max="8211" width="7.6640625" customWidth="1"/>
    <col min="8212" max="8445" width="9.109375" customWidth="1"/>
    <col min="8446" max="8447" width="2.6640625" customWidth="1"/>
    <col min="8448" max="8450" width="12" customWidth="1"/>
    <col min="8451" max="8452" width="9.109375" customWidth="1"/>
    <col min="8453" max="8453" width="0.88671875" customWidth="1"/>
    <col min="8454" max="8467" width="7.6640625" customWidth="1"/>
    <col min="8468" max="8701" width="9.109375" customWidth="1"/>
    <col min="8702" max="8703" width="2.6640625" customWidth="1"/>
    <col min="8704" max="8706" width="12" customWidth="1"/>
    <col min="8707" max="8708" width="9.109375" customWidth="1"/>
    <col min="8709" max="8709" width="0.88671875" customWidth="1"/>
    <col min="8710" max="8723" width="7.6640625" customWidth="1"/>
    <col min="8724" max="8957" width="9.109375" customWidth="1"/>
    <col min="8958" max="8959" width="2.6640625" customWidth="1"/>
    <col min="8960" max="8962" width="12" customWidth="1"/>
    <col min="8963" max="8964" width="9.109375" customWidth="1"/>
    <col min="8965" max="8965" width="0.88671875" customWidth="1"/>
    <col min="8966" max="8979" width="7.6640625" customWidth="1"/>
    <col min="8980" max="9213" width="9.109375" customWidth="1"/>
    <col min="9214" max="9215" width="2.6640625" customWidth="1"/>
    <col min="9216" max="9218" width="12" customWidth="1"/>
    <col min="9219" max="9220" width="9.109375" customWidth="1"/>
    <col min="9221" max="9221" width="0.88671875" customWidth="1"/>
    <col min="9222" max="9235" width="7.6640625" customWidth="1"/>
    <col min="9236" max="9469" width="9.109375" customWidth="1"/>
    <col min="9470" max="9471" width="2.6640625" customWidth="1"/>
    <col min="9472" max="9474" width="12" customWidth="1"/>
    <col min="9475" max="9476" width="9.109375" customWidth="1"/>
    <col min="9477" max="9477" width="0.88671875" customWidth="1"/>
    <col min="9478" max="9491" width="7.6640625" customWidth="1"/>
    <col min="9492" max="9725" width="9.109375" customWidth="1"/>
    <col min="9726" max="9727" width="2.6640625" customWidth="1"/>
    <col min="9728" max="9730" width="12" customWidth="1"/>
    <col min="9731" max="9732" width="9.109375" customWidth="1"/>
    <col min="9733" max="9733" width="0.88671875" customWidth="1"/>
    <col min="9734" max="9747" width="7.6640625" customWidth="1"/>
    <col min="9748" max="9981" width="9.109375" customWidth="1"/>
    <col min="9982" max="9983" width="2.6640625" customWidth="1"/>
    <col min="9984" max="9986" width="12" customWidth="1"/>
    <col min="9987" max="9988" width="9.109375" customWidth="1"/>
    <col min="9989" max="9989" width="0.88671875" customWidth="1"/>
    <col min="9990" max="10003" width="7.6640625" customWidth="1"/>
    <col min="10004" max="10237" width="9.109375" customWidth="1"/>
    <col min="10238" max="10239" width="2.6640625" customWidth="1"/>
    <col min="10240" max="10242" width="12" customWidth="1"/>
    <col min="10243" max="10244" width="9.109375" customWidth="1"/>
    <col min="10245" max="10245" width="0.88671875" customWidth="1"/>
    <col min="10246" max="10259" width="7.6640625" customWidth="1"/>
    <col min="10260" max="10493" width="9.109375" customWidth="1"/>
    <col min="10494" max="10495" width="2.6640625" customWidth="1"/>
    <col min="10496" max="10498" width="12" customWidth="1"/>
    <col min="10499" max="10500" width="9.109375" customWidth="1"/>
    <col min="10501" max="10501" width="0.88671875" customWidth="1"/>
    <col min="10502" max="10515" width="7.6640625" customWidth="1"/>
    <col min="10516" max="10749" width="9.109375" customWidth="1"/>
    <col min="10750" max="10751" width="2.6640625" customWidth="1"/>
    <col min="10752" max="10754" width="12" customWidth="1"/>
    <col min="10755" max="10756" width="9.109375" customWidth="1"/>
    <col min="10757" max="10757" width="0.88671875" customWidth="1"/>
    <col min="10758" max="10771" width="7.6640625" customWidth="1"/>
    <col min="10772" max="11005" width="9.109375" customWidth="1"/>
    <col min="11006" max="11007" width="2.6640625" customWidth="1"/>
    <col min="11008" max="11010" width="12" customWidth="1"/>
    <col min="11011" max="11012" width="9.109375" customWidth="1"/>
    <col min="11013" max="11013" width="0.88671875" customWidth="1"/>
    <col min="11014" max="11027" width="7.6640625" customWidth="1"/>
    <col min="11028" max="11261" width="9.109375" customWidth="1"/>
    <col min="11262" max="11263" width="2.6640625" customWidth="1"/>
    <col min="11264" max="11266" width="12" customWidth="1"/>
    <col min="11267" max="11268" width="9.109375" customWidth="1"/>
    <col min="11269" max="11269" width="0.88671875" customWidth="1"/>
    <col min="11270" max="11283" width="7.6640625" customWidth="1"/>
    <col min="11284" max="11517" width="9.109375" customWidth="1"/>
    <col min="11518" max="11519" width="2.6640625" customWidth="1"/>
    <col min="11520" max="11522" width="12" customWidth="1"/>
    <col min="11523" max="11524" width="9.109375" customWidth="1"/>
    <col min="11525" max="11525" width="0.88671875" customWidth="1"/>
    <col min="11526" max="11539" width="7.6640625" customWidth="1"/>
    <col min="11540" max="11773" width="9.109375" customWidth="1"/>
    <col min="11774" max="11775" width="2.6640625" customWidth="1"/>
    <col min="11776" max="11778" width="12" customWidth="1"/>
    <col min="11779" max="11780" width="9.109375" customWidth="1"/>
    <col min="11781" max="11781" width="0.88671875" customWidth="1"/>
    <col min="11782" max="11795" width="7.6640625" customWidth="1"/>
    <col min="11796" max="12029" width="9.109375" customWidth="1"/>
    <col min="12030" max="12031" width="2.6640625" customWidth="1"/>
    <col min="12032" max="12034" width="12" customWidth="1"/>
    <col min="12035" max="12036" width="9.109375" customWidth="1"/>
    <col min="12037" max="12037" width="0.88671875" customWidth="1"/>
    <col min="12038" max="12051" width="7.6640625" customWidth="1"/>
    <col min="12052" max="12285" width="9.109375" customWidth="1"/>
    <col min="12286" max="12287" width="2.6640625" customWidth="1"/>
    <col min="12288" max="12290" width="12" customWidth="1"/>
    <col min="12291" max="12292" width="9.109375" customWidth="1"/>
    <col min="12293" max="12293" width="0.88671875" customWidth="1"/>
    <col min="12294" max="12307" width="7.6640625" customWidth="1"/>
    <col min="12308" max="12541" width="9.109375" customWidth="1"/>
    <col min="12542" max="12543" width="2.6640625" customWidth="1"/>
    <col min="12544" max="12546" width="12" customWidth="1"/>
    <col min="12547" max="12548" width="9.109375" customWidth="1"/>
    <col min="12549" max="12549" width="0.88671875" customWidth="1"/>
    <col min="12550" max="12563" width="7.6640625" customWidth="1"/>
    <col min="12564" max="12797" width="9.109375" customWidth="1"/>
    <col min="12798" max="12799" width="2.6640625" customWidth="1"/>
    <col min="12800" max="12802" width="12" customWidth="1"/>
    <col min="12803" max="12804" width="9.109375" customWidth="1"/>
    <col min="12805" max="12805" width="0.88671875" customWidth="1"/>
    <col min="12806" max="12819" width="7.6640625" customWidth="1"/>
    <col min="12820" max="13053" width="9.109375" customWidth="1"/>
    <col min="13054" max="13055" width="2.6640625" customWidth="1"/>
    <col min="13056" max="13058" width="12" customWidth="1"/>
    <col min="13059" max="13060" width="9.109375" customWidth="1"/>
    <col min="13061" max="13061" width="0.88671875" customWidth="1"/>
    <col min="13062" max="13075" width="7.6640625" customWidth="1"/>
    <col min="13076" max="13309" width="9.109375" customWidth="1"/>
    <col min="13310" max="13311" width="2.6640625" customWidth="1"/>
    <col min="13312" max="13314" width="12" customWidth="1"/>
    <col min="13315" max="13316" width="9.109375" customWidth="1"/>
    <col min="13317" max="13317" width="0.88671875" customWidth="1"/>
    <col min="13318" max="13331" width="7.6640625" customWidth="1"/>
    <col min="13332" max="13565" width="9.109375" customWidth="1"/>
    <col min="13566" max="13567" width="2.6640625" customWidth="1"/>
    <col min="13568" max="13570" width="12" customWidth="1"/>
    <col min="13571" max="13572" width="9.109375" customWidth="1"/>
    <col min="13573" max="13573" width="0.88671875" customWidth="1"/>
    <col min="13574" max="13587" width="7.6640625" customWidth="1"/>
    <col min="13588" max="13821" width="9.109375" customWidth="1"/>
    <col min="13822" max="13823" width="2.6640625" customWidth="1"/>
    <col min="13824" max="13826" width="12" customWidth="1"/>
    <col min="13827" max="13828" width="9.109375" customWidth="1"/>
    <col min="13829" max="13829" width="0.88671875" customWidth="1"/>
    <col min="13830" max="13843" width="7.6640625" customWidth="1"/>
    <col min="13844" max="14077" width="9.109375" customWidth="1"/>
    <col min="14078" max="14079" width="2.6640625" customWidth="1"/>
    <col min="14080" max="14082" width="12" customWidth="1"/>
    <col min="14083" max="14084" width="9.109375" customWidth="1"/>
    <col min="14085" max="14085" width="0.88671875" customWidth="1"/>
    <col min="14086" max="14099" width="7.6640625" customWidth="1"/>
    <col min="14100" max="14333" width="9.109375" customWidth="1"/>
    <col min="14334" max="14335" width="2.6640625" customWidth="1"/>
    <col min="14336" max="14338" width="12" customWidth="1"/>
    <col min="14339" max="14340" width="9.109375" customWidth="1"/>
    <col min="14341" max="14341" width="0.88671875" customWidth="1"/>
    <col min="14342" max="14355" width="7.6640625" customWidth="1"/>
    <col min="14356" max="14589" width="9.109375" customWidth="1"/>
    <col min="14590" max="14591" width="2.6640625" customWidth="1"/>
    <col min="14592" max="14594" width="12" customWidth="1"/>
    <col min="14595" max="14596" width="9.109375" customWidth="1"/>
    <col min="14597" max="14597" width="0.88671875" customWidth="1"/>
    <col min="14598" max="14611" width="7.6640625" customWidth="1"/>
    <col min="14612" max="14845" width="9.109375" customWidth="1"/>
    <col min="14846" max="14847" width="2.6640625" customWidth="1"/>
    <col min="14848" max="14850" width="12" customWidth="1"/>
    <col min="14851" max="14852" width="9.109375" customWidth="1"/>
    <col min="14853" max="14853" width="0.88671875" customWidth="1"/>
    <col min="14854" max="14867" width="7.6640625" customWidth="1"/>
    <col min="14868" max="15101" width="9.109375" customWidth="1"/>
    <col min="15102" max="15103" width="2.6640625" customWidth="1"/>
    <col min="15104" max="15106" width="12" customWidth="1"/>
    <col min="15107" max="15108" width="9.109375" customWidth="1"/>
    <col min="15109" max="15109" width="0.88671875" customWidth="1"/>
    <col min="15110" max="15123" width="7.6640625" customWidth="1"/>
    <col min="15124" max="15357" width="9.109375" customWidth="1"/>
    <col min="15358" max="15359" width="2.6640625" customWidth="1"/>
    <col min="15360" max="15362" width="12" customWidth="1"/>
    <col min="15363" max="15364" width="9.109375" customWidth="1"/>
    <col min="15365" max="15365" width="0.88671875" customWidth="1"/>
    <col min="15366" max="15379" width="7.6640625" customWidth="1"/>
    <col min="15380" max="15613" width="9.109375" customWidth="1"/>
    <col min="15614" max="15615" width="2.6640625" customWidth="1"/>
    <col min="15616" max="15618" width="12" customWidth="1"/>
    <col min="15619" max="15620" width="9.109375" customWidth="1"/>
    <col min="15621" max="15621" width="0.88671875" customWidth="1"/>
    <col min="15622" max="15635" width="7.6640625" customWidth="1"/>
    <col min="15636" max="15869" width="9.109375" customWidth="1"/>
    <col min="15870" max="15871" width="2.6640625" customWidth="1"/>
    <col min="15872" max="15874" width="12" customWidth="1"/>
    <col min="15875" max="15876" width="9.109375" customWidth="1"/>
    <col min="15877" max="15877" width="0.88671875" customWidth="1"/>
    <col min="15878" max="15891" width="7.6640625" customWidth="1"/>
    <col min="15892" max="16125" width="9.109375" customWidth="1"/>
    <col min="16126" max="16127" width="2.6640625" customWidth="1"/>
    <col min="16128" max="16130" width="12" customWidth="1"/>
    <col min="16131" max="16132" width="9.109375" customWidth="1"/>
    <col min="16133" max="16133" width="0.88671875" customWidth="1"/>
    <col min="16134" max="16147" width="7.6640625" customWidth="1"/>
    <col min="16148" max="16384" width="9.109375" customWidth="1"/>
  </cols>
  <sheetData>
    <row r="1" spans="1:21" ht="13.5" customHeight="1">
      <c r="A1" s="252" t="s">
        <v>137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</row>
    <row r="2" spans="1:21" ht="13.5" customHeight="1">
      <c r="A2" s="253"/>
    </row>
    <row r="3" spans="1:21" ht="12.75" customHeight="1">
      <c r="A3" s="254"/>
    </row>
    <row r="4" spans="1:21" ht="15.75" customHeigh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15.75" customHeight="1">
      <c r="B5" s="44"/>
      <c r="C5" s="255" t="s">
        <v>138</v>
      </c>
      <c r="D5" s="255"/>
      <c r="E5" s="255"/>
      <c r="F5" s="255"/>
      <c r="G5" s="255"/>
      <c r="H5" s="255"/>
      <c r="I5" s="255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44"/>
    </row>
    <row r="6" spans="1:21" ht="12" customHeight="1"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 ht="20.25" customHeight="1">
      <c r="B7" s="44"/>
      <c r="C7" s="257" t="s">
        <v>139</v>
      </c>
      <c r="D7" s="258"/>
      <c r="E7" s="258"/>
      <c r="F7" s="258"/>
      <c r="G7" s="258"/>
      <c r="H7" s="258"/>
      <c r="I7" s="259">
        <v>0</v>
      </c>
      <c r="J7" s="259">
        <f t="shared" ref="J7:S7" si="0">+I7+1</f>
        <v>1</v>
      </c>
      <c r="K7" s="259">
        <f t="shared" si="0"/>
        <v>2</v>
      </c>
      <c r="L7" s="259">
        <f t="shared" si="0"/>
        <v>3</v>
      </c>
      <c r="M7" s="259">
        <f t="shared" si="0"/>
        <v>4</v>
      </c>
      <c r="N7" s="259">
        <f t="shared" si="0"/>
        <v>5</v>
      </c>
      <c r="O7" s="259">
        <f t="shared" si="0"/>
        <v>6</v>
      </c>
      <c r="P7" s="259">
        <f t="shared" si="0"/>
        <v>7</v>
      </c>
      <c r="Q7" s="259">
        <f t="shared" si="0"/>
        <v>8</v>
      </c>
      <c r="R7" s="259">
        <f t="shared" si="0"/>
        <v>9</v>
      </c>
      <c r="S7" s="259">
        <f t="shared" si="0"/>
        <v>10</v>
      </c>
      <c r="T7" s="259" t="s">
        <v>140</v>
      </c>
      <c r="U7" s="44"/>
    </row>
    <row r="8" spans="1:21" ht="20.25" customHeight="1">
      <c r="B8" s="44"/>
      <c r="C8" s="260" t="s">
        <v>141</v>
      </c>
      <c r="D8" s="261"/>
      <c r="E8" s="262"/>
      <c r="F8" s="262"/>
      <c r="G8" s="262"/>
      <c r="H8" s="262"/>
      <c r="I8" s="263">
        <f>+'DCF input'!I22</f>
        <v>43921</v>
      </c>
      <c r="J8" s="263">
        <f>+'DCF input'!J22</f>
        <v>44286</v>
      </c>
      <c r="K8" s="263">
        <f>+'DCF input'!K22</f>
        <v>44651</v>
      </c>
      <c r="L8" s="263">
        <f>+'DCF input'!L22</f>
        <v>45016</v>
      </c>
      <c r="M8" s="263">
        <f>+'DCF input'!M22</f>
        <v>45382</v>
      </c>
      <c r="N8" s="263">
        <f>+'DCF input'!N22</f>
        <v>45747</v>
      </c>
      <c r="O8" s="263">
        <f>+'DCF input'!O22</f>
        <v>46112</v>
      </c>
      <c r="P8" s="263">
        <f>+'DCF input'!P22</f>
        <v>46477</v>
      </c>
      <c r="Q8" s="263">
        <f>+'DCF input'!Q22</f>
        <v>46843</v>
      </c>
      <c r="R8" s="263">
        <f>+'DCF input'!R22</f>
        <v>47208</v>
      </c>
      <c r="S8" s="263">
        <f>+'DCF input'!S22</f>
        <v>47573</v>
      </c>
      <c r="T8" s="262"/>
      <c r="U8" s="44"/>
    </row>
    <row r="9" spans="1:21" ht="20.25" customHeight="1">
      <c r="B9" s="44"/>
      <c r="C9" s="264" t="s">
        <v>7</v>
      </c>
      <c r="D9" s="264"/>
      <c r="E9" s="265"/>
      <c r="F9" s="265"/>
      <c r="G9" s="265"/>
      <c r="H9" s="265"/>
      <c r="I9" s="266">
        <f>'DCF input'!I24</f>
        <v>1149.23121421216</v>
      </c>
      <c r="J9" s="266">
        <f>'DCF input'!J24</f>
        <v>1100</v>
      </c>
      <c r="K9" s="266">
        <f>'DCF input'!K24</f>
        <v>1353.8373857301599</v>
      </c>
      <c r="L9" s="266">
        <f>'DCF input'!L24</f>
        <v>1446.9754795854401</v>
      </c>
      <c r="M9" s="266">
        <f>'DCF input'!M24</f>
        <v>1442.6203434362001</v>
      </c>
      <c r="N9" s="266">
        <f>'DCF input'!N24</f>
        <v>1471.4727503049241</v>
      </c>
      <c r="O9" s="266">
        <f ca="1">'DCF input'!O24</f>
        <v>1497.9592609342935</v>
      </c>
      <c r="P9" s="266">
        <f ca="1">'DCF input'!P24</f>
        <v>1521.9266106069026</v>
      </c>
      <c r="Q9" s="266">
        <f ca="1">'DCF input'!Q24</f>
        <v>1543.2335843864182</v>
      </c>
      <c r="R9" s="266">
        <f ca="1">'DCF input'!R24</f>
        <v>1561.7523880231818</v>
      </c>
      <c r="S9" s="266">
        <f ca="1">'DCF input'!S24</f>
        <v>1577.3699119034136</v>
      </c>
      <c r="T9" s="267"/>
      <c r="U9" s="44"/>
    </row>
    <row r="10" spans="1:21" ht="20.25" customHeight="1">
      <c r="B10" s="44"/>
      <c r="C10" s="268" t="s">
        <v>64</v>
      </c>
      <c r="D10" s="268"/>
      <c r="E10" s="269"/>
      <c r="F10" s="270"/>
      <c r="G10" s="270"/>
      <c r="H10" s="270"/>
      <c r="I10" s="271"/>
      <c r="J10" s="271">
        <f t="shared" ref="J10:S10" si="1">J9/I9-1</f>
        <v>-4.2838389353973327E-2</v>
      </c>
      <c r="K10" s="271">
        <f t="shared" si="1"/>
        <v>0.23076125975469086</v>
      </c>
      <c r="L10" s="271">
        <f t="shared" si="1"/>
        <v>6.8795628512687612E-2</v>
      </c>
      <c r="M10" s="271">
        <f t="shared" si="1"/>
        <v>-3.0098202842302468E-3</v>
      </c>
      <c r="N10" s="271">
        <f t="shared" si="1"/>
        <v>2.0000000000000018E-2</v>
      </c>
      <c r="O10" s="271">
        <f t="shared" ca="1" si="1"/>
        <v>1.80000007637795E-2</v>
      </c>
      <c r="P10" s="271">
        <f t="shared" ca="1" si="1"/>
        <v>1.6000000999800479E-2</v>
      </c>
      <c r="Q10" s="271">
        <f t="shared" ca="1" si="1"/>
        <v>1.4000000808855662E-2</v>
      </c>
      <c r="R10" s="271">
        <f t="shared" ca="1" si="1"/>
        <v>1.2000000404427835E-2</v>
      </c>
      <c r="S10" s="271">
        <f t="shared" ca="1" si="1"/>
        <v>1.0000000000000009E-2</v>
      </c>
      <c r="T10" s="272"/>
      <c r="U10" s="44"/>
    </row>
    <row r="11" spans="1:21" ht="20.25" customHeight="1">
      <c r="B11" s="44"/>
      <c r="C11" s="264" t="s">
        <v>63</v>
      </c>
      <c r="D11" s="264"/>
      <c r="E11" s="265"/>
      <c r="F11" s="265"/>
      <c r="G11" s="265"/>
      <c r="H11" s="265"/>
      <c r="I11" s="266">
        <f>'DCF input'!I27</f>
        <v>94.147209662938195</v>
      </c>
      <c r="J11" s="266">
        <f>'DCF input'!J27</f>
        <v>8.2024042733810774</v>
      </c>
      <c r="K11" s="266">
        <f>'DCF input'!K27</f>
        <v>111.79673623719187</v>
      </c>
      <c r="L11" s="266">
        <f>'DCF input'!L27</f>
        <v>124.39494101920214</v>
      </c>
      <c r="M11" s="266">
        <f>'DCF input'!M27</f>
        <v>127.56812935492377</v>
      </c>
      <c r="N11" s="266">
        <f ca="1">'DCF input'!N27</f>
        <v>130.50497670037939</v>
      </c>
      <c r="O11" s="266">
        <f ca="1">'DCF input'!O27</f>
        <v>133.24650233845801</v>
      </c>
      <c r="P11" s="266">
        <f ca="1">'DCF input'!P27</f>
        <v>135.77717411567374</v>
      </c>
      <c r="Q11" s="266">
        <f ca="1">'DCF input'!Q27</f>
        <v>138.08237409438118</v>
      </c>
      <c r="R11" s="266">
        <f ca="1">'DCF input'!R27</f>
        <v>140.14853878072222</v>
      </c>
      <c r="S11" s="266">
        <f ca="1">'DCF input'!S27</f>
        <v>141.96329207130722</v>
      </c>
      <c r="T11" s="267"/>
      <c r="U11" s="44"/>
    </row>
    <row r="12" spans="1:21" ht="20.25" customHeight="1">
      <c r="B12" s="44"/>
      <c r="C12" s="268" t="s">
        <v>68</v>
      </c>
      <c r="D12" s="268"/>
      <c r="E12" s="270"/>
      <c r="F12" s="270"/>
      <c r="G12" s="270"/>
      <c r="H12" s="270"/>
      <c r="I12" s="271">
        <f t="shared" ref="I12:S12" si="2">I11/I9</f>
        <v>8.1921904398915543E-2</v>
      </c>
      <c r="J12" s="271">
        <f t="shared" si="2"/>
        <v>7.4567311576191611E-3</v>
      </c>
      <c r="K12" s="271">
        <f t="shared" si="2"/>
        <v>8.2577669530744247E-2</v>
      </c>
      <c r="L12" s="271">
        <f t="shared" si="2"/>
        <v>8.5968935047082765E-2</v>
      </c>
      <c r="M12" s="271">
        <f t="shared" si="2"/>
        <v>8.8428067672376806E-2</v>
      </c>
      <c r="N12" s="271">
        <f t="shared" ca="1" si="2"/>
        <v>8.8690039739666021E-2</v>
      </c>
      <c r="O12" s="271">
        <f t="shared" ca="1" si="2"/>
        <v>8.8952020133945917E-2</v>
      </c>
      <c r="P12" s="271">
        <f t="shared" ca="1" si="2"/>
        <v>8.9214008855216437E-2</v>
      </c>
      <c r="Q12" s="271">
        <f t="shared" ca="1" si="2"/>
        <v>8.947600382172996E-2</v>
      </c>
      <c r="R12" s="271">
        <f t="shared" ca="1" si="2"/>
        <v>8.9738001910864978E-2</v>
      </c>
      <c r="S12" s="271">
        <f t="shared" ca="1" si="2"/>
        <v>0.09</v>
      </c>
      <c r="T12" s="272"/>
      <c r="U12" s="44"/>
    </row>
    <row r="13" spans="1:21" ht="20.25" customHeight="1">
      <c r="B13" s="44"/>
      <c r="C13" s="268" t="s">
        <v>64</v>
      </c>
      <c r="D13" s="268"/>
      <c r="E13" s="269"/>
      <c r="F13" s="270"/>
      <c r="G13" s="270"/>
      <c r="H13" s="270"/>
      <c r="I13" s="271"/>
      <c r="J13" s="271">
        <f t="shared" ref="J13:S13" si="3">J11/I11-1</f>
        <v>-0.91287682021860261</v>
      </c>
      <c r="K13" s="271">
        <f t="shared" si="3"/>
        <v>12.629752022830816</v>
      </c>
      <c r="L13" s="271">
        <f t="shared" si="3"/>
        <v>0.11268848453036662</v>
      </c>
      <c r="M13" s="271">
        <f t="shared" si="3"/>
        <v>2.5508982195922236E-2</v>
      </c>
      <c r="N13" s="271">
        <f t="shared" ca="1" si="3"/>
        <v>2.3021795179614557E-2</v>
      </c>
      <c r="O13" s="271">
        <f t="shared" ca="1" si="3"/>
        <v>2.1007058178116544E-2</v>
      </c>
      <c r="P13" s="271">
        <f t="shared" ca="1" si="3"/>
        <v>1.8992406800949935E-2</v>
      </c>
      <c r="Q13" s="271">
        <f t="shared" ca="1" si="3"/>
        <v>1.6977816733345419E-2</v>
      </c>
      <c r="R13" s="271">
        <f t="shared" ca="1" si="3"/>
        <v>1.4963276087133215E-2</v>
      </c>
      <c r="S13" s="271">
        <f t="shared" ca="1" si="3"/>
        <v>1.2948784956112736E-2</v>
      </c>
      <c r="T13" s="272"/>
      <c r="U13" s="44"/>
    </row>
    <row r="14" spans="1:21" ht="20.25" customHeight="1">
      <c r="B14" s="44"/>
      <c r="C14" s="273" t="s">
        <v>81</v>
      </c>
      <c r="D14" s="273"/>
      <c r="E14" s="274"/>
      <c r="F14" s="274"/>
      <c r="G14" s="274"/>
      <c r="H14" s="274"/>
      <c r="I14" s="275">
        <f>'DCF input'!I31</f>
        <v>-36.1292154</v>
      </c>
      <c r="J14" s="275">
        <f>'DCF input'!J31</f>
        <v>-40.45529352334907</v>
      </c>
      <c r="K14" s="275">
        <f>'DCF input'!K31</f>
        <v>-47.195257615808771</v>
      </c>
      <c r="L14" s="275">
        <f>'DCF input'!L31</f>
        <v>-51.829543587564174</v>
      </c>
      <c r="M14" s="275">
        <f>'DCF input'!M31</f>
        <v>-54.799912142159172</v>
      </c>
      <c r="N14" s="275">
        <f ca="1">'DCF input'!N31</f>
        <v>-53.583371406544728</v>
      </c>
      <c r="O14" s="275">
        <f ca="1">'DCF input'!O31</f>
        <v>-52.366775194672485</v>
      </c>
      <c r="P14" s="275">
        <f ca="1">'DCF input'!P31</f>
        <v>-51.15012329902379</v>
      </c>
      <c r="Q14" s="275">
        <f ca="1">'DCF input'!Q31</f>
        <v>-49.933429510083272</v>
      </c>
      <c r="R14" s="275">
        <f ca="1">'DCF input'!R31</f>
        <v>-48.716714688264972</v>
      </c>
      <c r="S14" s="275">
        <f ca="1">'DCF input'!S31</f>
        <v>-47.499999780309992</v>
      </c>
      <c r="T14" s="276"/>
      <c r="U14" s="44"/>
    </row>
    <row r="15" spans="1:21" ht="20.25" customHeight="1">
      <c r="B15" s="44"/>
      <c r="C15" s="268" t="s">
        <v>82</v>
      </c>
      <c r="D15" s="268"/>
      <c r="E15" s="270"/>
      <c r="F15" s="270"/>
      <c r="G15" s="270"/>
      <c r="H15" s="270"/>
      <c r="I15" s="271">
        <f t="shared" ref="I15:S15" si="4">-I14/I$9</f>
        <v>3.1437725457855663E-2</v>
      </c>
      <c r="J15" s="271">
        <f t="shared" si="4"/>
        <v>3.6777539566680971E-2</v>
      </c>
      <c r="K15" s="271">
        <f t="shared" si="4"/>
        <v>3.4860359237572046E-2</v>
      </c>
      <c r="L15" s="271">
        <f t="shared" si="4"/>
        <v>3.5819227290854572E-2</v>
      </c>
      <c r="M15" s="271">
        <f t="shared" si="4"/>
        <v>3.7986371391124568E-2</v>
      </c>
      <c r="N15" s="271">
        <f t="shared" ca="1" si="4"/>
        <v>3.6414790145071312E-2</v>
      </c>
      <c r="O15" s="271">
        <f t="shared" ca="1" si="4"/>
        <v>3.4958744580283682E-2</v>
      </c>
      <c r="P15" s="271">
        <f t="shared" ca="1" si="4"/>
        <v>3.3608797521863763E-2</v>
      </c>
      <c r="Q15" s="271">
        <f t="shared" ca="1" si="4"/>
        <v>3.2356365241971163E-2</v>
      </c>
      <c r="R15" s="271">
        <f t="shared" ca="1" si="4"/>
        <v>3.1193622665068626E-2</v>
      </c>
      <c r="S15" s="271">
        <f t="shared" ca="1" si="4"/>
        <v>3.0113418179120523E-2</v>
      </c>
      <c r="T15" s="272"/>
      <c r="U15" s="44"/>
    </row>
    <row r="16" spans="1:21" ht="20.25" customHeight="1">
      <c r="B16" s="44"/>
      <c r="C16" s="268" t="s">
        <v>83</v>
      </c>
      <c r="D16" s="268"/>
      <c r="E16" s="270"/>
      <c r="F16" s="270"/>
      <c r="G16" s="270"/>
      <c r="H16" s="270"/>
      <c r="I16" s="271"/>
      <c r="J16" s="271">
        <f t="shared" ref="J16:S16" si="5">+J14/J21</f>
        <v>0.79324104947743279</v>
      </c>
      <c r="K16" s="271">
        <f t="shared" si="5"/>
        <v>0.94390515231617544</v>
      </c>
      <c r="L16" s="271">
        <f t="shared" si="5"/>
        <v>1.0365908717512835</v>
      </c>
      <c r="M16" s="271">
        <f t="shared" si="5"/>
        <v>1.0959982428431834</v>
      </c>
      <c r="N16" s="271">
        <f t="shared" ca="1" si="5"/>
        <v>1.0716674281308947</v>
      </c>
      <c r="O16" s="271">
        <f t="shared" ca="1" si="5"/>
        <v>1.0473355038934498</v>
      </c>
      <c r="P16" s="271">
        <f t="shared" ca="1" si="5"/>
        <v>1.0230024659804757</v>
      </c>
      <c r="Q16" s="271">
        <f t="shared" ca="1" si="5"/>
        <v>0.99866859020166543</v>
      </c>
      <c r="R16" s="271">
        <f t="shared" ca="1" si="5"/>
        <v>0.97433429376529945</v>
      </c>
      <c r="S16" s="271">
        <f t="shared" ca="1" si="5"/>
        <v>0.94999999560619985</v>
      </c>
      <c r="T16" s="272"/>
      <c r="U16" s="44"/>
    </row>
    <row r="17" spans="2:21" ht="20.25" customHeight="1">
      <c r="B17" s="44"/>
      <c r="C17" s="273" t="s">
        <v>69</v>
      </c>
      <c r="D17" s="273"/>
      <c r="E17" s="274"/>
      <c r="F17" s="274"/>
      <c r="G17" s="274"/>
      <c r="H17" s="274"/>
      <c r="I17" s="275">
        <f t="shared" ref="I17:S17" si="6">I11+I14</f>
        <v>58.017994262938196</v>
      </c>
      <c r="J17" s="275">
        <f t="shared" si="6"/>
        <v>-32.252889249967993</v>
      </c>
      <c r="K17" s="275">
        <f t="shared" si="6"/>
        <v>64.601478621383094</v>
      </c>
      <c r="L17" s="275">
        <f t="shared" si="6"/>
        <v>72.565397431637962</v>
      </c>
      <c r="M17" s="275">
        <f t="shared" si="6"/>
        <v>72.768217212764597</v>
      </c>
      <c r="N17" s="275">
        <f t="shared" ca="1" si="6"/>
        <v>76.921605293834659</v>
      </c>
      <c r="O17" s="275">
        <f t="shared" ca="1" si="6"/>
        <v>80.87972714378553</v>
      </c>
      <c r="P17" s="275">
        <f t="shared" ca="1" si="6"/>
        <v>84.627050816649955</v>
      </c>
      <c r="Q17" s="275">
        <f t="shared" ca="1" si="6"/>
        <v>88.148944584297908</v>
      </c>
      <c r="R17" s="275">
        <f t="shared" ca="1" si="6"/>
        <v>91.431824092457248</v>
      </c>
      <c r="S17" s="275">
        <f t="shared" ca="1" si="6"/>
        <v>94.463292290997231</v>
      </c>
      <c r="T17" s="276"/>
      <c r="U17" s="44"/>
    </row>
    <row r="18" spans="2:21" ht="20.25" customHeight="1">
      <c r="B18" s="44"/>
      <c r="C18" s="268" t="s">
        <v>68</v>
      </c>
      <c r="D18" s="268"/>
      <c r="E18" s="270"/>
      <c r="F18" s="270"/>
      <c r="G18" s="270"/>
      <c r="H18" s="270"/>
      <c r="I18" s="271">
        <f t="shared" ref="I18:S18" si="7">I17/I$9</f>
        <v>5.0484178941059873E-2</v>
      </c>
      <c r="J18" s="271">
        <f t="shared" si="7"/>
        <v>-2.9320808409061812E-2</v>
      </c>
      <c r="K18" s="271">
        <f t="shared" si="7"/>
        <v>4.7717310293172194E-2</v>
      </c>
      <c r="L18" s="271">
        <f t="shared" si="7"/>
        <v>5.01497077562282E-2</v>
      </c>
      <c r="M18" s="271">
        <f t="shared" si="7"/>
        <v>5.0441696281252238E-2</v>
      </c>
      <c r="N18" s="271">
        <f t="shared" ca="1" si="7"/>
        <v>5.2275249594594717E-2</v>
      </c>
      <c r="O18" s="271">
        <f t="shared" ca="1" si="7"/>
        <v>5.3993275553662227E-2</v>
      </c>
      <c r="P18" s="271">
        <f t="shared" ca="1" si="7"/>
        <v>5.5605211333352667E-2</v>
      </c>
      <c r="Q18" s="271">
        <f t="shared" ca="1" si="7"/>
        <v>5.7119638579758797E-2</v>
      </c>
      <c r="R18" s="271">
        <f t="shared" ca="1" si="7"/>
        <v>5.8544379245796349E-2</v>
      </c>
      <c r="S18" s="271">
        <f t="shared" ca="1" si="7"/>
        <v>5.9886581820879477E-2</v>
      </c>
      <c r="T18" s="272"/>
      <c r="U18" s="44"/>
    </row>
    <row r="19" spans="2:21" ht="20.25" customHeight="1">
      <c r="B19" s="44"/>
      <c r="C19" s="273" t="s">
        <v>142</v>
      </c>
      <c r="D19" s="273"/>
      <c r="E19" s="274"/>
      <c r="F19" s="274"/>
      <c r="G19" s="274"/>
      <c r="H19" s="274"/>
      <c r="I19" s="275"/>
      <c r="J19" s="275">
        <f t="shared" ref="J19:S19" si="8">-J20*J17</f>
        <v>5.4829911724945593</v>
      </c>
      <c r="K19" s="275">
        <f t="shared" si="8"/>
        <v>-10.982251365635127</v>
      </c>
      <c r="L19" s="275">
        <f t="shared" si="8"/>
        <v>-12.336117563378455</v>
      </c>
      <c r="M19" s="275">
        <f t="shared" si="8"/>
        <v>-12.370596926169982</v>
      </c>
      <c r="N19" s="275">
        <f t="shared" ca="1" si="8"/>
        <v>-13.076672899951893</v>
      </c>
      <c r="O19" s="275">
        <f t="shared" ca="1" si="8"/>
        <v>-13.749553614443542</v>
      </c>
      <c r="P19" s="275">
        <f t="shared" ca="1" si="8"/>
        <v>-14.386598638830494</v>
      </c>
      <c r="Q19" s="275">
        <f t="shared" ca="1" si="8"/>
        <v>-14.985320579330645</v>
      </c>
      <c r="R19" s="275">
        <f t="shared" ca="1" si="8"/>
        <v>-15.543410095717734</v>
      </c>
      <c r="S19" s="275">
        <f t="shared" ca="1" si="8"/>
        <v>-16.058759689469529</v>
      </c>
      <c r="T19" s="276"/>
      <c r="U19" s="44"/>
    </row>
    <row r="20" spans="2:21" ht="20.25" customHeight="1">
      <c r="B20" s="44"/>
      <c r="C20" s="268" t="s">
        <v>70</v>
      </c>
      <c r="D20" s="268"/>
      <c r="E20" s="270"/>
      <c r="F20" s="270"/>
      <c r="G20" s="270"/>
      <c r="H20" s="270"/>
      <c r="I20" s="271"/>
      <c r="J20" s="271">
        <f>'DCF input'!J40</f>
        <v>0.17</v>
      </c>
      <c r="K20" s="271">
        <f>'DCF input'!K40</f>
        <v>0.17</v>
      </c>
      <c r="L20" s="271">
        <f>'DCF input'!L40</f>
        <v>0.17</v>
      </c>
      <c r="M20" s="271">
        <f>'DCF input'!M40</f>
        <v>0.17</v>
      </c>
      <c r="N20" s="271">
        <f>'DCF input'!N40</f>
        <v>0.17</v>
      </c>
      <c r="O20" s="271">
        <f>'DCF input'!O40</f>
        <v>0.17</v>
      </c>
      <c r="P20" s="271">
        <f>'DCF input'!P40</f>
        <v>0.17</v>
      </c>
      <c r="Q20" s="271">
        <f>'DCF input'!Q40</f>
        <v>0.17</v>
      </c>
      <c r="R20" s="271">
        <f>'DCF input'!R40</f>
        <v>0.17</v>
      </c>
      <c r="S20" s="271">
        <f>'DCF input'!S40</f>
        <v>0.17</v>
      </c>
      <c r="T20" s="272"/>
      <c r="U20" s="44"/>
    </row>
    <row r="21" spans="2:21" ht="20.25" customHeight="1">
      <c r="B21" s="44"/>
      <c r="C21" s="273" t="s">
        <v>23</v>
      </c>
      <c r="D21" s="273"/>
      <c r="E21" s="274"/>
      <c r="F21" s="274"/>
      <c r="G21" s="274"/>
      <c r="H21" s="274"/>
      <c r="I21" s="275"/>
      <c r="J21" s="275">
        <f>'DCF input'!J48</f>
        <v>-51</v>
      </c>
      <c r="K21" s="275">
        <f>'DCF input'!K48</f>
        <v>-50</v>
      </c>
      <c r="L21" s="275">
        <f>'DCF input'!L48</f>
        <v>-50</v>
      </c>
      <c r="M21" s="275">
        <f>'DCF input'!M48</f>
        <v>-50</v>
      </c>
      <c r="N21" s="275">
        <f>'DCF input'!N48</f>
        <v>-50</v>
      </c>
      <c r="O21" s="275">
        <f>'DCF input'!O48</f>
        <v>-50</v>
      </c>
      <c r="P21" s="275">
        <f>'DCF input'!P48</f>
        <v>-50</v>
      </c>
      <c r="Q21" s="275">
        <f>'DCF input'!Q48</f>
        <v>-50</v>
      </c>
      <c r="R21" s="275">
        <f>'DCF input'!R48</f>
        <v>-50</v>
      </c>
      <c r="S21" s="275">
        <f>'DCF input'!S48</f>
        <v>-50</v>
      </c>
      <c r="T21" s="276"/>
      <c r="U21" s="44"/>
    </row>
    <row r="22" spans="2:21" ht="20.25" customHeight="1">
      <c r="B22" s="44"/>
      <c r="C22" s="268" t="s">
        <v>82</v>
      </c>
      <c r="D22" s="268"/>
      <c r="E22" s="270"/>
      <c r="F22" s="270"/>
      <c r="G22" s="270"/>
      <c r="H22" s="270"/>
      <c r="I22" s="271"/>
      <c r="J22" s="271">
        <f t="shared" ref="J22:S22" si="9">-J21/J$9</f>
        <v>4.6363636363636364E-2</v>
      </c>
      <c r="K22" s="271">
        <f t="shared" si="9"/>
        <v>3.6932057370415793E-2</v>
      </c>
      <c r="L22" s="271">
        <f t="shared" si="9"/>
        <v>3.4554835728332484E-2</v>
      </c>
      <c r="M22" s="271">
        <f t="shared" si="9"/>
        <v>3.4659153551726725E-2</v>
      </c>
      <c r="N22" s="271">
        <f t="shared" si="9"/>
        <v>3.3979562305614434E-2</v>
      </c>
      <c r="O22" s="271">
        <f t="shared" ca="1" si="9"/>
        <v>3.3378744872416925E-2</v>
      </c>
      <c r="P22" s="271">
        <f t="shared" ca="1" si="9"/>
        <v>3.2853095314537784E-2</v>
      </c>
      <c r="Q22" s="271">
        <f t="shared" ca="1" si="9"/>
        <v>3.2399502256736941E-2</v>
      </c>
      <c r="R22" s="271">
        <f t="shared" ca="1" si="9"/>
        <v>3.201531842271646E-2</v>
      </c>
      <c r="S22" s="271">
        <f t="shared" ca="1" si="9"/>
        <v>3.16983350719965E-2</v>
      </c>
      <c r="T22" s="272"/>
      <c r="U22" s="44"/>
    </row>
    <row r="23" spans="2:21" ht="20.25" customHeight="1">
      <c r="B23" s="44"/>
      <c r="C23" s="273" t="s">
        <v>85</v>
      </c>
      <c r="D23" s="273"/>
      <c r="E23" s="274"/>
      <c r="F23" s="274"/>
      <c r="G23" s="274"/>
      <c r="H23" s="274"/>
      <c r="I23" s="275"/>
      <c r="J23" s="275">
        <f>'DCF input'!J52</f>
        <v>16.1119544409034</v>
      </c>
      <c r="K23" s="275">
        <f>'DCF input'!K52</f>
        <v>15.1688926668047</v>
      </c>
      <c r="L23" s="275">
        <f>'DCF input'!L52</f>
        <v>11.1102169006686</v>
      </c>
      <c r="M23" s="275">
        <f>'DCF input'!M52</f>
        <v>3.9548595532390398</v>
      </c>
      <c r="N23" s="275">
        <f>'DCF input'!N52</f>
        <v>0</v>
      </c>
      <c r="O23" s="275">
        <f ca="1">'DCF input'!O52</f>
        <v>0</v>
      </c>
      <c r="P23" s="275">
        <f ca="1">'DCF input'!P52</f>
        <v>0</v>
      </c>
      <c r="Q23" s="275">
        <f ca="1">'DCF input'!Q52</f>
        <v>0</v>
      </c>
      <c r="R23" s="275">
        <f ca="1">'DCF input'!R52</f>
        <v>0</v>
      </c>
      <c r="S23" s="275">
        <f ca="1">'DCF input'!S52</f>
        <v>0</v>
      </c>
      <c r="T23" s="276"/>
      <c r="U23" s="44"/>
    </row>
    <row r="24" spans="2:21" ht="20.25" customHeight="1">
      <c r="B24" s="44"/>
      <c r="C24" s="273" t="s">
        <v>77</v>
      </c>
      <c r="D24" s="273"/>
      <c r="E24" s="274"/>
      <c r="F24" s="274"/>
      <c r="G24" s="274"/>
      <c r="H24" s="274"/>
      <c r="I24" s="275"/>
      <c r="J24" s="275">
        <f>'DCF input'!J55</f>
        <v>0</v>
      </c>
      <c r="K24" s="275">
        <f>'DCF input'!K55</f>
        <v>-5</v>
      </c>
      <c r="L24" s="275">
        <f>'DCF input'!L55</f>
        <v>-5</v>
      </c>
      <c r="M24" s="275">
        <f>'DCF input'!M55</f>
        <v>-5</v>
      </c>
      <c r="N24" s="275">
        <f>'DCF input'!N55</f>
        <v>-5</v>
      </c>
      <c r="O24" s="275">
        <f>'DCF input'!O55</f>
        <v>-5</v>
      </c>
      <c r="P24" s="275">
        <f>'DCF input'!P55</f>
        <v>-5</v>
      </c>
      <c r="Q24" s="275">
        <f>'DCF input'!Q55</f>
        <v>-5</v>
      </c>
      <c r="R24" s="275">
        <f>'DCF input'!R55</f>
        <v>-5</v>
      </c>
      <c r="S24" s="275">
        <f>'DCF input'!S55</f>
        <v>-5</v>
      </c>
      <c r="T24" s="276"/>
      <c r="U24" s="44"/>
    </row>
    <row r="25" spans="2:21" ht="20.25" customHeight="1">
      <c r="B25" s="44"/>
      <c r="C25" s="268" t="s">
        <v>82</v>
      </c>
      <c r="D25" s="273"/>
      <c r="E25" s="274"/>
      <c r="F25" s="274"/>
      <c r="G25" s="274"/>
      <c r="H25" s="274"/>
      <c r="I25" s="275"/>
      <c r="J25" s="271">
        <f t="shared" ref="J25:S25" si="10">-J24/J$9</f>
        <v>0</v>
      </c>
      <c r="K25" s="271">
        <f t="shared" si="10"/>
        <v>3.6932057370415794E-3</v>
      </c>
      <c r="L25" s="271">
        <f t="shared" si="10"/>
        <v>3.4554835728332488E-3</v>
      </c>
      <c r="M25" s="271">
        <f t="shared" si="10"/>
        <v>3.4659153551726725E-3</v>
      </c>
      <c r="N25" s="271">
        <f t="shared" si="10"/>
        <v>3.3979562305614434E-3</v>
      </c>
      <c r="O25" s="271">
        <f t="shared" ca="1" si="10"/>
        <v>3.3378744872416925E-3</v>
      </c>
      <c r="P25" s="271">
        <f t="shared" ca="1" si="10"/>
        <v>3.2853095314537783E-3</v>
      </c>
      <c r="Q25" s="271">
        <f t="shared" ca="1" si="10"/>
        <v>3.2399502256736943E-3</v>
      </c>
      <c r="R25" s="271">
        <f t="shared" ca="1" si="10"/>
        <v>3.2015318422716462E-3</v>
      </c>
      <c r="S25" s="271">
        <f t="shared" ca="1" si="10"/>
        <v>3.1698335071996498E-3</v>
      </c>
      <c r="T25" s="276"/>
      <c r="U25" s="44"/>
    </row>
    <row r="26" spans="2:21" ht="20.25" customHeight="1">
      <c r="B26" s="44"/>
      <c r="C26" s="273" t="s">
        <v>78</v>
      </c>
      <c r="D26" s="273"/>
      <c r="E26" s="274"/>
      <c r="F26" s="274"/>
      <c r="G26" s="274"/>
      <c r="H26" s="274"/>
      <c r="I26" s="275"/>
      <c r="J26" s="275">
        <f>'DCF input'!J58</f>
        <v>-18.004468664734802</v>
      </c>
      <c r="K26" s="275">
        <f>'DCF input'!K58</f>
        <v>-6.7527180429793701</v>
      </c>
      <c r="L26" s="275">
        <f>'DCF input'!L58</f>
        <v>25.138454026318879</v>
      </c>
      <c r="M26" s="275">
        <f>'DCF input'!M58</f>
        <v>-4.8650405710493096</v>
      </c>
      <c r="N26" s="275">
        <f>'DCF input'!N58</f>
        <v>0</v>
      </c>
      <c r="O26" s="275">
        <f>'DCF input'!O58</f>
        <v>0</v>
      </c>
      <c r="P26" s="275">
        <f>'DCF input'!P58</f>
        <v>0</v>
      </c>
      <c r="Q26" s="275">
        <f>'DCF input'!Q58</f>
        <v>0</v>
      </c>
      <c r="R26" s="275">
        <f>'DCF input'!R58</f>
        <v>0</v>
      </c>
      <c r="S26" s="275">
        <f>'DCF input'!S58</f>
        <v>0</v>
      </c>
      <c r="T26" s="276"/>
      <c r="U26" s="44"/>
    </row>
    <row r="27" spans="2:21" ht="20.25" customHeight="1">
      <c r="B27" s="44"/>
      <c r="C27" s="268" t="s">
        <v>82</v>
      </c>
      <c r="D27" s="273"/>
      <c r="E27" s="274"/>
      <c r="F27" s="274"/>
      <c r="G27" s="274"/>
      <c r="H27" s="274"/>
      <c r="I27" s="275"/>
      <c r="J27" s="271">
        <f t="shared" ref="J27:S27" si="11">-J26/J$9</f>
        <v>1.6367698786122546E-2</v>
      </c>
      <c r="K27" s="271">
        <f t="shared" si="11"/>
        <v>4.9878354033911186E-3</v>
      </c>
      <c r="L27" s="271">
        <f t="shared" si="11"/>
        <v>-1.7373102986873744E-2</v>
      </c>
      <c r="M27" s="271">
        <f t="shared" si="11"/>
        <v>3.3723637637475658E-3</v>
      </c>
      <c r="N27" s="271">
        <f t="shared" si="11"/>
        <v>0</v>
      </c>
      <c r="O27" s="271">
        <f t="shared" ca="1" si="11"/>
        <v>0</v>
      </c>
      <c r="P27" s="271">
        <f t="shared" ca="1" si="11"/>
        <v>0</v>
      </c>
      <c r="Q27" s="271">
        <f t="shared" ca="1" si="11"/>
        <v>0</v>
      </c>
      <c r="R27" s="271">
        <f t="shared" ca="1" si="11"/>
        <v>0</v>
      </c>
      <c r="S27" s="271">
        <f t="shared" ca="1" si="11"/>
        <v>0</v>
      </c>
      <c r="T27" s="276"/>
      <c r="U27" s="44"/>
    </row>
    <row r="28" spans="2:21" ht="20.25" customHeight="1">
      <c r="B28" s="44"/>
      <c r="C28" s="264" t="s">
        <v>143</v>
      </c>
      <c r="D28" s="264"/>
      <c r="E28" s="265"/>
      <c r="F28" s="265"/>
      <c r="G28" s="265"/>
      <c r="H28" s="265"/>
      <c r="I28" s="266"/>
      <c r="J28" s="266">
        <f t="shared" ref="J28:S28" si="12">J17+J19-J14+J21+J23+J24+J26</f>
        <v>-39.20711877795577</v>
      </c>
      <c r="K28" s="266">
        <f t="shared" si="12"/>
        <v>54.230659495382071</v>
      </c>
      <c r="L28" s="266">
        <f t="shared" si="12"/>
        <v>93.307494382811171</v>
      </c>
      <c r="M28" s="266">
        <f t="shared" si="12"/>
        <v>59.287351410943529</v>
      </c>
      <c r="N28" s="266">
        <f t="shared" ca="1" si="12"/>
        <v>62.4283038004275</v>
      </c>
      <c r="O28" s="266">
        <f t="shared" ca="1" si="12"/>
        <v>64.496948724014473</v>
      </c>
      <c r="P28" s="266">
        <f t="shared" ca="1" si="12"/>
        <v>66.390575476843253</v>
      </c>
      <c r="Q28" s="266">
        <f t="shared" ca="1" si="12"/>
        <v>68.097053515050533</v>
      </c>
      <c r="R28" s="266">
        <f t="shared" ca="1" si="12"/>
        <v>69.605128685004487</v>
      </c>
      <c r="S28" s="266">
        <f t="shared" ca="1" si="12"/>
        <v>70.904532381837697</v>
      </c>
      <c r="T28" s="266">
        <f ca="1">S28*(1+'DCF input'!F9)/('DCF input'!F11-'DCF input'!F9)</f>
        <v>890.73818804683606</v>
      </c>
      <c r="U28" s="44"/>
    </row>
    <row r="29" spans="2:21" ht="20.25" customHeight="1">
      <c r="B29" s="44"/>
      <c r="C29" s="44" t="s">
        <v>144</v>
      </c>
      <c r="D29" s="273"/>
      <c r="E29" s="274"/>
      <c r="F29" s="274"/>
      <c r="G29" s="274"/>
      <c r="H29" s="274"/>
      <c r="I29" s="275"/>
      <c r="J29" s="275">
        <f t="shared" ref="J29:S29" si="13">J7</f>
        <v>1</v>
      </c>
      <c r="K29" s="275">
        <f t="shared" si="13"/>
        <v>2</v>
      </c>
      <c r="L29" s="275">
        <f t="shared" si="13"/>
        <v>3</v>
      </c>
      <c r="M29" s="275">
        <f t="shared" si="13"/>
        <v>4</v>
      </c>
      <c r="N29" s="275">
        <f t="shared" si="13"/>
        <v>5</v>
      </c>
      <c r="O29" s="275">
        <f t="shared" si="13"/>
        <v>6</v>
      </c>
      <c r="P29" s="275">
        <f t="shared" si="13"/>
        <v>7</v>
      </c>
      <c r="Q29" s="275">
        <f t="shared" si="13"/>
        <v>8</v>
      </c>
      <c r="R29" s="275">
        <f t="shared" si="13"/>
        <v>9</v>
      </c>
      <c r="S29" s="275">
        <f t="shared" si="13"/>
        <v>10</v>
      </c>
      <c r="T29" s="275"/>
      <c r="U29" s="44"/>
    </row>
    <row r="30" spans="2:21" ht="20.25" customHeight="1">
      <c r="B30" s="44"/>
      <c r="C30" s="44" t="s">
        <v>145</v>
      </c>
      <c r="D30" s="273"/>
      <c r="E30" s="274"/>
      <c r="F30" s="274"/>
      <c r="G30" s="274"/>
      <c r="H30" s="274"/>
      <c r="I30" s="277"/>
      <c r="J30" s="278">
        <f>'DCF input'!J67</f>
        <v>0.92165898617511521</v>
      </c>
      <c r="K30" s="278">
        <f>'DCF input'!K67</f>
        <v>0.84945528679734128</v>
      </c>
      <c r="L30" s="278">
        <f>'DCF input'!L67</f>
        <v>0.78290809843072917</v>
      </c>
      <c r="M30" s="278">
        <f>'DCF input'!M67</f>
        <v>0.72157428426795334</v>
      </c>
      <c r="N30" s="278">
        <f>'DCF input'!N67</f>
        <v>0.66504542328843619</v>
      </c>
      <c r="O30" s="278">
        <f>'DCF input'!O67</f>
        <v>0.6129450905884205</v>
      </c>
      <c r="P30" s="278">
        <f>'DCF input'!P67</f>
        <v>0.56492635077273778</v>
      </c>
      <c r="Q30" s="278">
        <f>'DCF input'!Q67</f>
        <v>0.52066944771680901</v>
      </c>
      <c r="R30" s="278">
        <f>'DCF input'!R67</f>
        <v>0.4798796753150314</v>
      </c>
      <c r="S30" s="278">
        <f>'DCF input'!S67</f>
        <v>0.44228541503689528</v>
      </c>
      <c r="T30" s="275"/>
      <c r="U30" s="44"/>
    </row>
    <row r="31" spans="2:21" ht="20.25" customHeight="1">
      <c r="B31" s="44"/>
      <c r="C31" s="279" t="s">
        <v>146</v>
      </c>
      <c r="D31" s="279"/>
      <c r="E31" s="280"/>
      <c r="F31" s="280"/>
      <c r="G31" s="280"/>
      <c r="H31" s="280"/>
      <c r="I31" s="281"/>
      <c r="J31" s="281">
        <f t="shared" ref="J31:S31" si="14">J30*J28</f>
        <v>-36.135593343738037</v>
      </c>
      <c r="K31" s="281">
        <f t="shared" si="14"/>
        <v>46.066520414858736</v>
      </c>
      <c r="L31" s="281">
        <f t="shared" si="14"/>
        <v>73.051192996582643</v>
      </c>
      <c r="M31" s="281">
        <f t="shared" si="14"/>
        <v>42.780228160494211</v>
      </c>
      <c r="N31" s="281">
        <f t="shared" ca="1" si="14"/>
        <v>41.517657726134395</v>
      </c>
      <c r="O31" s="281">
        <f t="shared" ca="1" si="14"/>
        <v>39.533088078317761</v>
      </c>
      <c r="P31" s="281">
        <f t="shared" ca="1" si="14"/>
        <v>37.505785529835073</v>
      </c>
      <c r="Q31" s="281">
        <f t="shared" ca="1" si="14"/>
        <v>35.456055244823347</v>
      </c>
      <c r="R31" s="281">
        <f t="shared" ca="1" si="14"/>
        <v>33.402086553620933</v>
      </c>
      <c r="S31" s="281">
        <f t="shared" ca="1" si="14"/>
        <v>31.360040532498068</v>
      </c>
      <c r="T31" s="281">
        <f ca="1">T28*S30</f>
        <v>393.96050918950698</v>
      </c>
      <c r="U31" s="44"/>
    </row>
    <row r="32" spans="2:21" ht="20.25" customHeight="1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2" ht="20.25" customHeight="1">
      <c r="B33" s="44"/>
      <c r="C33" s="282" t="s">
        <v>147</v>
      </c>
      <c r="D33" s="283"/>
      <c r="E33" s="283"/>
      <c r="F33" s="283"/>
      <c r="G33" s="283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50"/>
      <c r="U33" s="44"/>
    </row>
    <row r="34" spans="2:22" ht="20.25" customHeight="1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2:22" ht="20.25" customHeight="1">
      <c r="B35" s="44"/>
      <c r="C35" s="331" t="str">
        <f>"Value Based on "&amp;TEXT(K40,"#0.0%")&amp;" WACC &amp; "&amp;TEXT(N37,"#0.0%")&amp;" TGR"</f>
        <v>Value Based on 8.5% WACC &amp; 0.5% TGR</v>
      </c>
      <c r="D35" s="330"/>
      <c r="E35" s="330"/>
      <c r="F35" s="285" t="s">
        <v>148</v>
      </c>
      <c r="G35" s="285" t="s">
        <v>149</v>
      </c>
      <c r="H35" s="44"/>
      <c r="I35" s="44"/>
      <c r="J35" s="286" t="s">
        <v>150</v>
      </c>
      <c r="K35" s="287"/>
      <c r="L35" s="288"/>
      <c r="M35" s="289"/>
      <c r="N35" s="289"/>
      <c r="O35" s="289"/>
      <c r="P35" s="289"/>
      <c r="Q35" s="289"/>
      <c r="R35" s="289"/>
      <c r="S35" s="289"/>
      <c r="T35" s="44"/>
      <c r="U35" s="44"/>
    </row>
    <row r="36" spans="2:22" ht="20.25" customHeight="1">
      <c r="B36" s="44"/>
      <c r="C36" s="332"/>
      <c r="D36" s="332"/>
      <c r="E36" s="332"/>
      <c r="F36" s="290" t="s">
        <v>108</v>
      </c>
      <c r="G36" s="262" t="s">
        <v>151</v>
      </c>
      <c r="H36" s="44"/>
      <c r="I36" s="44"/>
      <c r="J36" s="258"/>
      <c r="K36" s="285"/>
      <c r="L36" s="333" t="s">
        <v>152</v>
      </c>
      <c r="M36" s="330"/>
      <c r="N36" s="330"/>
      <c r="O36" s="330"/>
      <c r="P36" s="330"/>
      <c r="Q36" s="291"/>
      <c r="R36" s="291"/>
      <c r="S36" s="291"/>
      <c r="T36" s="44"/>
      <c r="U36" s="44"/>
    </row>
    <row r="37" spans="2:22" ht="20.25" customHeight="1">
      <c r="B37" s="44"/>
      <c r="C37" s="292" t="s">
        <v>153</v>
      </c>
      <c r="D37" s="293"/>
      <c r="E37" s="293"/>
      <c r="F37" s="294">
        <f ca="1">SUM(J31:S31)</f>
        <v>344.53706189342716</v>
      </c>
      <c r="G37" s="295">
        <f ca="1">F37/F$39</f>
        <v>0.46653784090632711</v>
      </c>
      <c r="H37" s="44"/>
      <c r="I37" s="44"/>
      <c r="J37" s="329" t="s">
        <v>127</v>
      </c>
      <c r="K37" s="296"/>
      <c r="L37" s="297">
        <f>'DCF input'!F103</f>
        <v>0</v>
      </c>
      <c r="M37" s="297">
        <f>'DCF input'!G103</f>
        <v>2.5000000000000001E-3</v>
      </c>
      <c r="N37" s="297">
        <f>'DCF input'!H103</f>
        <v>5.0000000000000001E-3</v>
      </c>
      <c r="O37" s="297">
        <f>'DCF input'!I103</f>
        <v>7.4999999999999997E-3</v>
      </c>
      <c r="P37" s="297">
        <f>'DCF input'!J103</f>
        <v>0.01</v>
      </c>
      <c r="Q37" s="298"/>
      <c r="R37" s="298"/>
      <c r="S37" s="298"/>
      <c r="T37" s="44"/>
      <c r="U37" s="44"/>
    </row>
    <row r="38" spans="2:22" ht="20.25" customHeight="1">
      <c r="B38" s="44"/>
      <c r="C38" s="292" t="s">
        <v>111</v>
      </c>
      <c r="D38" s="293"/>
      <c r="E38" s="293"/>
      <c r="F38" s="294">
        <f ca="1">T31</f>
        <v>393.96050918950698</v>
      </c>
      <c r="G38" s="295">
        <f ca="1">F38/F$39</f>
        <v>0.53346216035383265</v>
      </c>
      <c r="H38" s="44"/>
      <c r="I38" s="44"/>
      <c r="J38" s="330"/>
      <c r="K38" s="299">
        <f>'DCF input'!E95</f>
        <v>7.4999999999999997E-2</v>
      </c>
      <c r="L38" s="300" t="str">
        <f>CONCATENATE(ROUND('DCF input'!F95,)," / ",ROUND('DCF input'!F104,0),"c")</f>
        <v>0 / -43c</v>
      </c>
      <c r="M38" s="301" t="e">
        <f>CONCATENATE(ROUND('DCF input'!G95,)," / ",ROUND('DCF input'!G104,0),"c")</f>
        <v>#VALUE!</v>
      </c>
      <c r="N38" s="301" t="e">
        <f>CONCATENATE(ROUND('DCF input'!H95,)," / ",ROUND('DCF input'!H104,0),"c")</f>
        <v>#VALUE!</v>
      </c>
      <c r="O38" s="301" t="e">
        <f>CONCATENATE(ROUND('DCF input'!I95,)," / ",ROUND('DCF input'!I104,0),"c")</f>
        <v>#VALUE!</v>
      </c>
      <c r="P38" s="301" t="e">
        <f>CONCATENATE(ROUND('DCF input'!J95,)," / ",ROUND('DCF input'!J104,0),"c")</f>
        <v>#VALUE!</v>
      </c>
      <c r="Q38" s="302"/>
      <c r="R38" s="302"/>
      <c r="S38" s="302"/>
      <c r="T38" s="44"/>
      <c r="U38" s="44"/>
    </row>
    <row r="39" spans="2:22" ht="20.25" customHeight="1">
      <c r="B39" s="44"/>
      <c r="C39" s="303" t="s">
        <v>154</v>
      </c>
      <c r="D39" s="304"/>
      <c r="E39" s="304"/>
      <c r="F39" s="305">
        <f ca="1">(F38+F37)</f>
        <v>738.4975710829342</v>
      </c>
      <c r="G39" s="306">
        <f ca="1">F39/F$39</f>
        <v>1</v>
      </c>
      <c r="H39" s="44"/>
      <c r="I39" s="44"/>
      <c r="J39" s="330"/>
      <c r="K39" s="299">
        <f>'DCF input'!E96</f>
        <v>0.08</v>
      </c>
      <c r="L39" s="301" t="e">
        <f>CONCATENATE(ROUND('DCF input'!F96,)," / ",ROUND('DCF input'!F105,0),"c")</f>
        <v>#VALUE!</v>
      </c>
      <c r="M39" s="307" t="e">
        <f>CONCATENATE(ROUND('DCF input'!G96,)," / ",ROUND('DCF input'!G105,0),"c")</f>
        <v>#VALUE!</v>
      </c>
      <c r="N39" s="307" t="e">
        <f>CONCATENATE(ROUND('DCF input'!H96,)," / ",ROUND('DCF input'!H105,0),"c")</f>
        <v>#VALUE!</v>
      </c>
      <c r="O39" s="307" t="e">
        <f>CONCATENATE(ROUND('DCF input'!I96,)," / ",ROUND('DCF input'!I105,0),"c")</f>
        <v>#VALUE!</v>
      </c>
      <c r="P39" s="301" t="e">
        <f>CONCATENATE(ROUND('DCF input'!J96,)," / ",ROUND('DCF input'!J105,0),"c")</f>
        <v>#VALUE!</v>
      </c>
      <c r="Q39" s="302"/>
      <c r="R39" s="302"/>
      <c r="S39" s="302"/>
      <c r="T39" s="44"/>
      <c r="U39" s="44"/>
    </row>
    <row r="40" spans="2:22" ht="20.25" customHeight="1">
      <c r="B40" s="44"/>
      <c r="C40" s="292" t="s">
        <v>113</v>
      </c>
      <c r="D40" s="293"/>
      <c r="E40" s="293"/>
      <c r="F40" s="308">
        <f>+'DCF input'!H78</f>
        <v>-84.616813539585507</v>
      </c>
      <c r="G40" s="309"/>
      <c r="H40" s="244"/>
      <c r="I40" s="44"/>
      <c r="J40" s="330"/>
      <c r="K40" s="299">
        <f>'DCF input'!E97</f>
        <v>8.5000000000000006E-2</v>
      </c>
      <c r="L40" s="301" t="e">
        <f>CONCATENATE(ROUND('DCF input'!F97,)," / ",ROUND('DCF input'!F106,0),"c")</f>
        <v>#VALUE!</v>
      </c>
      <c r="M40" s="307" t="e">
        <f>CONCATENATE(ROUND('DCF input'!G97,)," / ",ROUND('DCF input'!G106,0),"c")</f>
        <v>#VALUE!</v>
      </c>
      <c r="N40" s="310" t="e">
        <f>CONCATENATE(ROUND('DCF input'!H97,)," / ",ROUND('DCF input'!H106,0),"c")</f>
        <v>#VALUE!</v>
      </c>
      <c r="O40" s="307" t="e">
        <f>CONCATENATE(ROUND('DCF input'!I97,)," / ",ROUND('DCF input'!I106,0),"c")</f>
        <v>#VALUE!</v>
      </c>
      <c r="P40" s="301" t="e">
        <f>CONCATENATE(ROUND('DCF input'!J97,)," / ",ROUND('DCF input'!J106,0),"c")</f>
        <v>#VALUE!</v>
      </c>
      <c r="Q40" s="302"/>
      <c r="R40" s="311"/>
      <c r="S40" s="302"/>
      <c r="T40" s="44"/>
      <c r="U40" s="44"/>
    </row>
    <row r="41" spans="2:22" ht="20.25" customHeight="1">
      <c r="B41" s="44"/>
      <c r="C41" s="303" t="s">
        <v>155</v>
      </c>
      <c r="D41" s="304"/>
      <c r="E41" s="304"/>
      <c r="F41" s="305">
        <f ca="1">+F39+F40</f>
        <v>653.88075754334864</v>
      </c>
      <c r="G41" s="306"/>
      <c r="H41" s="44"/>
      <c r="I41" s="44"/>
      <c r="J41" s="330"/>
      <c r="K41" s="299">
        <f>'DCF input'!E98</f>
        <v>9.0000000000000011E-2</v>
      </c>
      <c r="L41" s="301" t="e">
        <f>CONCATENATE(ROUND('DCF input'!F98,)," / ",ROUND('DCF input'!F107,0),"c")</f>
        <v>#VALUE!</v>
      </c>
      <c r="M41" s="307" t="e">
        <f>CONCATENATE(ROUND('DCF input'!G98,)," / ",ROUND('DCF input'!G107,0),"c")</f>
        <v>#VALUE!</v>
      </c>
      <c r="N41" s="307" t="e">
        <f>CONCATENATE(ROUND('DCF input'!H98,)," / ",ROUND('DCF input'!H107,0),"c")</f>
        <v>#VALUE!</v>
      </c>
      <c r="O41" s="307" t="e">
        <f>CONCATENATE(ROUND('DCF input'!I98,)," / ",ROUND('DCF input'!I107,0),"c")</f>
        <v>#VALUE!</v>
      </c>
      <c r="P41" s="301" t="e">
        <f>CONCATENATE(ROUND('DCF input'!J98,)," / ",ROUND('DCF input'!J107,0),"c")</f>
        <v>#VALUE!</v>
      </c>
      <c r="Q41" s="302"/>
      <c r="R41" s="302"/>
      <c r="S41" s="302"/>
      <c r="T41" s="44"/>
      <c r="U41" s="44"/>
    </row>
    <row r="42" spans="2:22" ht="20.25" customHeight="1">
      <c r="B42" s="44"/>
      <c r="C42" s="292" t="s">
        <v>156</v>
      </c>
      <c r="D42" s="293"/>
      <c r="E42" s="293"/>
      <c r="F42" s="308">
        <f ca="1">+F41/Assumptions!D17*100</f>
        <v>328.5832952479139</v>
      </c>
      <c r="G42" s="312"/>
      <c r="H42" s="44"/>
      <c r="I42" s="44"/>
      <c r="J42" s="319"/>
      <c r="K42" s="313">
        <f>'DCF input'!E99</f>
        <v>9.5000000000000015E-2</v>
      </c>
      <c r="L42" s="314" t="e">
        <f>CONCATENATE(ROUND('DCF input'!F99,)," / ",ROUND('DCF input'!F108,0),"c")</f>
        <v>#VALUE!</v>
      </c>
      <c r="M42" s="314" t="e">
        <f>CONCATENATE(ROUND('DCF input'!G99,)," / ",ROUND('DCF input'!G108,0),"c")</f>
        <v>#VALUE!</v>
      </c>
      <c r="N42" s="314" t="e">
        <f>CONCATENATE(ROUND('DCF input'!H99,)," / ",ROUND('DCF input'!H108,0),"c")</f>
        <v>#VALUE!</v>
      </c>
      <c r="O42" s="314" t="e">
        <f>CONCATENATE(ROUND('DCF input'!I99,)," / ",ROUND('DCF input'!I108,0),"c")</f>
        <v>#VALUE!</v>
      </c>
      <c r="P42" s="314" t="e">
        <f>CONCATENATE(ROUND('DCF input'!J99,)," / ",ROUND('DCF input'!J108,0),"c")</f>
        <v>#VALUE!</v>
      </c>
      <c r="Q42" s="302"/>
      <c r="R42" s="302"/>
      <c r="S42" s="302"/>
      <c r="T42" s="44"/>
      <c r="U42" s="44"/>
    </row>
    <row r="43" spans="2:22" ht="20.25" customHeight="1">
      <c r="B43" s="44"/>
      <c r="C43" s="315" t="s">
        <v>116</v>
      </c>
      <c r="D43" s="293"/>
      <c r="E43" s="293"/>
      <c r="F43" s="316">
        <f ca="1">+F42/Assumptions!D16-1</f>
        <v>0.99141391059341766</v>
      </c>
      <c r="G43" s="312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2:22" ht="15.7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27"/>
    </row>
  </sheetData>
  <mergeCells count="3">
    <mergeCell ref="J37:J42"/>
    <mergeCell ref="C35:E36"/>
    <mergeCell ref="L36:P3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__FDSCACHE__</vt:lpstr>
      <vt:lpstr>Cover sheet</vt:lpstr>
      <vt:lpstr>__FDS_SIDEBAR__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Soumyakanta Bera</cp:lastModifiedBy>
  <cp:revision>0</cp:revision>
  <cp:lastPrinted>2019-02-04T16:32:05Z</cp:lastPrinted>
  <dcterms:created xsi:type="dcterms:W3CDTF">2010-12-03T17:25:22Z</dcterms:created>
  <dcterms:modified xsi:type="dcterms:W3CDTF">2026-05-02T20:40:05Z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FormulaData">
    <vt:lpwstr>Formula Contents:
Sheet Name: DCF output: S7 (...)</vt:lpwstr>
  </property>
  <property fmtid="{D5CDD505-2E9C-101B-9397-08002B2CF9AE}" pid="4" name="HiddenData">
    <vt:lpwstr>Hidden Sheets: __FDSCACHE__,__FDS_SIDEBAR__
</vt:lpwstr>
  </property>
  <property fmtid="{D5CDD505-2E9C-101B-9397-08002B2CF9AE}" pid="5" name="PitchProPlusUniqueWorkbookId">
    <vt:lpwstr>b0967e03-7035-4363-8f0e-435491059870</vt:lpwstr>
  </property>
</Properties>
</file>